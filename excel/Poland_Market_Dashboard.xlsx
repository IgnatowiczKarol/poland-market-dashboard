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ol\Desktop\PORTFOLIO\Poland_Market_Dashboard\excel\"/>
    </mc:Choice>
  </mc:AlternateContent>
  <xr:revisionPtr revIDLastSave="0" documentId="13_ncr:1_{BB947448-3D20-49B0-9525-CCFEBE6969DF}" xr6:coauthVersionLast="47" xr6:coauthVersionMax="47" xr10:uidLastSave="{00000000-0000-0000-0000-000000000000}"/>
  <bookViews>
    <workbookView xWindow="28680" yWindow="-120" windowWidth="29040" windowHeight="15840" activeTab="1" xr2:uid="{549B21C3-AFAF-4A3E-9161-236D05018CC5}"/>
  </bookViews>
  <sheets>
    <sheet name="README" sheetId="1" r:id="rId1"/>
    <sheet name="Raw_GPW" sheetId="2" r:id="rId2"/>
    <sheet name="Raw_NBP" sheetId="3" r:id="rId3"/>
    <sheet name="Clean_Data" sheetId="4" r:id="rId4"/>
    <sheet name="Returns" sheetId="5" r:id="rId5"/>
    <sheet name="Dashboard" sheetId="6" r:id="rId6"/>
    <sheet name="Market_Commentary" sheetId="7" r:id="rId7"/>
  </sheets>
  <definedNames>
    <definedName name="ExternalData_1" localSheetId="1" hidden="1">Raw_GPW!$C$5:$H$65</definedName>
    <definedName name="ExternalData_1" localSheetId="2" hidden="1">Raw_NBP!$D$5:$F$66</definedName>
    <definedName name="ExternalData_2" localSheetId="1" hidden="1">Raw_GPW!$M$5:$R$65</definedName>
    <definedName name="ExternalData_2" localSheetId="2" hidden="1">Raw_NBP!$K$5:$M$66</definedName>
    <definedName name="ExternalData_3" localSheetId="1" hidden="1">Raw_GPW!$W$5:$AB$65</definedName>
    <definedName name="ExternalData_3" localSheetId="2" hidden="1">Raw_NBP!$R$5:$S$66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7" i="4" l="1"/>
  <c r="O20" i="4"/>
  <c r="O25" i="4"/>
  <c r="H5" i="4"/>
  <c r="O5" i="4" s="1"/>
  <c r="H6" i="4"/>
  <c r="O6" i="4" s="1"/>
  <c r="H7" i="4"/>
  <c r="O7" i="4" s="1"/>
  <c r="H8" i="4"/>
  <c r="O8" i="4" s="1"/>
  <c r="H9" i="4"/>
  <c r="G10" i="5" s="1"/>
  <c r="H10" i="4"/>
  <c r="O10" i="4" s="1"/>
  <c r="H11" i="4"/>
  <c r="O11" i="4" s="1"/>
  <c r="H12" i="4"/>
  <c r="O12" i="4" s="1"/>
  <c r="H13" i="4"/>
  <c r="O13" i="4" s="1"/>
  <c r="H14" i="4"/>
  <c r="G15" i="5" s="1"/>
  <c r="H15" i="4"/>
  <c r="O15" i="4" s="1"/>
  <c r="H16" i="4"/>
  <c r="O16" i="4" s="1"/>
  <c r="H17" i="4"/>
  <c r="G18" i="5" s="1"/>
  <c r="H18" i="4"/>
  <c r="O18" i="4" s="1"/>
  <c r="H19" i="4"/>
  <c r="G20" i="5" s="1"/>
  <c r="H20" i="4"/>
  <c r="G21" i="5" s="1"/>
  <c r="H21" i="4"/>
  <c r="O21" i="4" s="1"/>
  <c r="H22" i="4"/>
  <c r="O22" i="4" s="1"/>
  <c r="H23" i="4"/>
  <c r="O23" i="4" s="1"/>
  <c r="H24" i="4"/>
  <c r="O24" i="4" s="1"/>
  <c r="H25" i="4"/>
  <c r="G26" i="5" s="1"/>
  <c r="G5" i="5"/>
  <c r="L5" i="5" s="1"/>
  <c r="M5" i="5" s="1"/>
  <c r="G7" i="5"/>
  <c r="G12" i="5"/>
  <c r="G13" i="5"/>
  <c r="G16" i="5"/>
  <c r="G17" i="5"/>
  <c r="G19" i="5"/>
  <c r="G23" i="5"/>
  <c r="H4" i="4"/>
  <c r="O4" i="4" s="1"/>
  <c r="H26" i="4"/>
  <c r="G27" i="5" s="1"/>
  <c r="H27" i="4"/>
  <c r="G28" i="5" s="1"/>
  <c r="H28" i="4"/>
  <c r="G29" i="5" s="1"/>
  <c r="H29" i="4"/>
  <c r="G30" i="5" s="1"/>
  <c r="H30" i="4"/>
  <c r="G31" i="5" s="1"/>
  <c r="H31" i="4"/>
  <c r="G32" i="5" s="1"/>
  <c r="H32" i="4"/>
  <c r="G33" i="5" s="1"/>
  <c r="H33" i="4"/>
  <c r="G34" i="5" s="1"/>
  <c r="H34" i="4"/>
  <c r="G35" i="5" s="1"/>
  <c r="H35" i="4"/>
  <c r="G36" i="5" s="1"/>
  <c r="H36" i="4"/>
  <c r="G37" i="5" s="1"/>
  <c r="H37" i="4"/>
  <c r="G38" i="5" s="1"/>
  <c r="H38" i="4"/>
  <c r="G39" i="5" s="1"/>
  <c r="H39" i="4"/>
  <c r="G40" i="5" s="1"/>
  <c r="H40" i="4"/>
  <c r="O40" i="4" s="1"/>
  <c r="H41" i="4"/>
  <c r="G42" i="5" s="1"/>
  <c r="H42" i="4"/>
  <c r="G43" i="5" s="1"/>
  <c r="H43" i="4"/>
  <c r="G44" i="5" s="1"/>
  <c r="H44" i="4"/>
  <c r="G45" i="5" s="1"/>
  <c r="H45" i="4"/>
  <c r="G46" i="5" s="1"/>
  <c r="H46" i="4"/>
  <c r="G47" i="5" s="1"/>
  <c r="H47" i="4"/>
  <c r="G48" i="5" s="1"/>
  <c r="H48" i="4"/>
  <c r="G49" i="5" s="1"/>
  <c r="H49" i="4"/>
  <c r="G50" i="5" s="1"/>
  <c r="H50" i="4"/>
  <c r="G51" i="5" s="1"/>
  <c r="H51" i="4"/>
  <c r="G52" i="5" s="1"/>
  <c r="H52" i="4"/>
  <c r="G53" i="5" s="1"/>
  <c r="H53" i="4"/>
  <c r="G54" i="5" s="1"/>
  <c r="H54" i="4"/>
  <c r="G55" i="5" s="1"/>
  <c r="H55" i="4"/>
  <c r="G56" i="5" s="1"/>
  <c r="H56" i="4"/>
  <c r="O56" i="4" s="1"/>
  <c r="H57" i="4"/>
  <c r="O57" i="4" s="1"/>
  <c r="H58" i="4"/>
  <c r="G59" i="5" s="1"/>
  <c r="H59" i="4"/>
  <c r="G60" i="5" s="1"/>
  <c r="H60" i="4"/>
  <c r="G61" i="5" s="1"/>
  <c r="H61" i="4"/>
  <c r="G62" i="5" s="1"/>
  <c r="H62" i="4"/>
  <c r="G63" i="5" s="1"/>
  <c r="H63" i="4"/>
  <c r="G64" i="5" s="1"/>
  <c r="G5" i="4"/>
  <c r="BC6" i="5" s="1"/>
  <c r="G6" i="4"/>
  <c r="AE7" i="5" s="1"/>
  <c r="G7" i="4"/>
  <c r="BC8" i="5" s="1"/>
  <c r="G8" i="4"/>
  <c r="G9" i="4"/>
  <c r="G10" i="4"/>
  <c r="G11" i="4"/>
  <c r="G12" i="4"/>
  <c r="G13" i="4"/>
  <c r="BC14" i="5" s="1"/>
  <c r="G14" i="4"/>
  <c r="F15" i="5" s="1"/>
  <c r="G15" i="4"/>
  <c r="AE16" i="5" s="1"/>
  <c r="G16" i="4"/>
  <c r="BC17" i="5" s="1"/>
  <c r="G17" i="4"/>
  <c r="BC18" i="5" s="1"/>
  <c r="G18" i="4"/>
  <c r="AQ19" i="5" s="1"/>
  <c r="G19" i="4"/>
  <c r="BC20" i="5" s="1"/>
  <c r="G20" i="4"/>
  <c r="F21" i="5" s="1"/>
  <c r="G21" i="4"/>
  <c r="AE22" i="5" s="1"/>
  <c r="G22" i="4"/>
  <c r="BC23" i="5" s="1"/>
  <c r="G23" i="4"/>
  <c r="AE24" i="5" s="1"/>
  <c r="G24" i="4"/>
  <c r="AQ25" i="5" s="1"/>
  <c r="G25" i="4"/>
  <c r="AE26" i="5" s="1"/>
  <c r="G26" i="4"/>
  <c r="BC27" i="5" s="1"/>
  <c r="G27" i="4"/>
  <c r="G28" i="4"/>
  <c r="G29" i="4"/>
  <c r="AQ30" i="5" s="1"/>
  <c r="G30" i="4"/>
  <c r="K30" i="4" s="1"/>
  <c r="AR31" i="5" s="1"/>
  <c r="G31" i="4"/>
  <c r="K31" i="4" s="1"/>
  <c r="AR32" i="5" s="1"/>
  <c r="G32" i="4"/>
  <c r="AE33" i="5" s="1"/>
  <c r="G33" i="4"/>
  <c r="AE34" i="5" s="1"/>
  <c r="G34" i="4"/>
  <c r="J34" i="4" s="1"/>
  <c r="AF35" i="5" s="1"/>
  <c r="G35" i="4"/>
  <c r="R36" i="5" s="1"/>
  <c r="G36" i="4"/>
  <c r="L36" i="4" s="1"/>
  <c r="BD37" i="5" s="1"/>
  <c r="G37" i="4"/>
  <c r="L37" i="4" s="1"/>
  <c r="BD38" i="5" s="1"/>
  <c r="G38" i="4"/>
  <c r="M38" i="4" s="1"/>
  <c r="BP39" i="5" s="1"/>
  <c r="G39" i="4"/>
  <c r="AQ40" i="5" s="1"/>
  <c r="G40" i="4"/>
  <c r="M40" i="4" s="1"/>
  <c r="BP41" i="5" s="1"/>
  <c r="G41" i="4"/>
  <c r="BO42" i="5" s="1"/>
  <c r="G42" i="4"/>
  <c r="AQ43" i="5" s="1"/>
  <c r="G43" i="4"/>
  <c r="AQ44" i="5" s="1"/>
  <c r="G44" i="4"/>
  <c r="L44" i="4" s="1"/>
  <c r="BD45" i="5" s="1"/>
  <c r="G45" i="4"/>
  <c r="BO46" i="5" s="1"/>
  <c r="G46" i="4"/>
  <c r="G47" i="4"/>
  <c r="K47" i="4" s="1"/>
  <c r="AR48" i="5" s="1"/>
  <c r="G48" i="4"/>
  <c r="K48" i="4" s="1"/>
  <c r="AR49" i="5" s="1"/>
  <c r="G49" i="4"/>
  <c r="BO50" i="5" s="1"/>
  <c r="G50" i="4"/>
  <c r="J50" i="4" s="1"/>
  <c r="AF51" i="5" s="1"/>
  <c r="G51" i="4"/>
  <c r="BO52" i="5" s="1"/>
  <c r="G52" i="4"/>
  <c r="F53" i="5" s="1"/>
  <c r="G53" i="4"/>
  <c r="R54" i="5" s="1"/>
  <c r="G54" i="4"/>
  <c r="M54" i="4" s="1"/>
  <c r="BP55" i="5" s="1"/>
  <c r="G55" i="4"/>
  <c r="I55" i="4" s="1"/>
  <c r="S56" i="5" s="1"/>
  <c r="G56" i="4"/>
  <c r="R57" i="5" s="1"/>
  <c r="G57" i="4"/>
  <c r="G58" i="4"/>
  <c r="AQ59" i="5" s="1"/>
  <c r="G59" i="4"/>
  <c r="G60" i="4"/>
  <c r="L60" i="4" s="1"/>
  <c r="BD61" i="5" s="1"/>
  <c r="G61" i="4"/>
  <c r="L61" i="4" s="1"/>
  <c r="BD62" i="5" s="1"/>
  <c r="G62" i="4"/>
  <c r="G63" i="4"/>
  <c r="AQ64" i="5" s="1"/>
  <c r="G4" i="4"/>
  <c r="K4" i="4" s="1"/>
  <c r="AR5" i="5" s="1"/>
  <c r="G11" i="5" l="1"/>
  <c r="H61" i="5"/>
  <c r="H45" i="5"/>
  <c r="G58" i="5"/>
  <c r="G24" i="5"/>
  <c r="O31" i="4"/>
  <c r="G14" i="5"/>
  <c r="O9" i="4"/>
  <c r="O52" i="4"/>
  <c r="O36" i="4"/>
  <c r="O51" i="4"/>
  <c r="O35" i="4"/>
  <c r="O19" i="4"/>
  <c r="H60" i="5"/>
  <c r="H44" i="5"/>
  <c r="O50" i="4"/>
  <c r="O34" i="4"/>
  <c r="O49" i="4"/>
  <c r="O33" i="4"/>
  <c r="O48" i="4"/>
  <c r="O32" i="4"/>
  <c r="O63" i="4"/>
  <c r="O47" i="4"/>
  <c r="G57" i="5"/>
  <c r="O62" i="4"/>
  <c r="O46" i="4"/>
  <c r="O30" i="4"/>
  <c r="O14" i="4"/>
  <c r="G9" i="5"/>
  <c r="O61" i="4"/>
  <c r="O45" i="4"/>
  <c r="O29" i="4"/>
  <c r="G41" i="5"/>
  <c r="G8" i="5"/>
  <c r="H8" i="5" s="1"/>
  <c r="O60" i="4"/>
  <c r="O44" i="4"/>
  <c r="O28" i="4"/>
  <c r="O59" i="4"/>
  <c r="O43" i="4"/>
  <c r="O27" i="4"/>
  <c r="G25" i="5"/>
  <c r="G6" i="5"/>
  <c r="H15" i="5"/>
  <c r="O58" i="4"/>
  <c r="O42" i="4"/>
  <c r="O26" i="4"/>
  <c r="R53" i="5"/>
  <c r="O41" i="4"/>
  <c r="K51" i="4"/>
  <c r="AR52" i="5" s="1"/>
  <c r="M51" i="4"/>
  <c r="BP52" i="5" s="1"/>
  <c r="G22" i="5"/>
  <c r="I27" i="5" s="1"/>
  <c r="AE25" i="5"/>
  <c r="O55" i="4"/>
  <c r="O39" i="4"/>
  <c r="AQ24" i="5"/>
  <c r="O54" i="4"/>
  <c r="O38" i="4"/>
  <c r="H31" i="5"/>
  <c r="I26" i="5"/>
  <c r="O53" i="4"/>
  <c r="O37" i="4"/>
  <c r="I10" i="5"/>
  <c r="H48" i="5"/>
  <c r="H32" i="5"/>
  <c r="H62" i="5"/>
  <c r="H17" i="5"/>
  <c r="H42" i="5"/>
  <c r="AE51" i="5"/>
  <c r="BC51" i="5"/>
  <c r="H39" i="5"/>
  <c r="I24" i="5"/>
  <c r="AE37" i="5"/>
  <c r="BC35" i="5"/>
  <c r="I36" i="4"/>
  <c r="S37" i="5" s="1"/>
  <c r="BC19" i="5"/>
  <c r="I35" i="4"/>
  <c r="S36" i="5" s="1"/>
  <c r="H6" i="5"/>
  <c r="AE21" i="5"/>
  <c r="BC7" i="5"/>
  <c r="I34" i="4"/>
  <c r="S35" i="5" s="1"/>
  <c r="H52" i="5"/>
  <c r="H36" i="5"/>
  <c r="AE19" i="5"/>
  <c r="H20" i="5"/>
  <c r="R56" i="5"/>
  <c r="BO53" i="5"/>
  <c r="I55" i="5"/>
  <c r="BO51" i="5"/>
  <c r="H49" i="5"/>
  <c r="H33" i="5"/>
  <c r="R51" i="5"/>
  <c r="BO41" i="5"/>
  <c r="R38" i="5"/>
  <c r="AQ53" i="5"/>
  <c r="BO37" i="5"/>
  <c r="R37" i="5"/>
  <c r="AQ51" i="5"/>
  <c r="BO35" i="5"/>
  <c r="H46" i="5"/>
  <c r="R21" i="5"/>
  <c r="BO21" i="5"/>
  <c r="H29" i="5"/>
  <c r="R20" i="5"/>
  <c r="AQ37" i="5"/>
  <c r="R19" i="5"/>
  <c r="AQ35" i="5"/>
  <c r="I11" i="5"/>
  <c r="AQ21" i="5"/>
  <c r="AE53" i="5"/>
  <c r="H55" i="5"/>
  <c r="I39" i="5"/>
  <c r="F7" i="6" a="1"/>
  <c r="F7" i="6" s="1"/>
  <c r="I40" i="5"/>
  <c r="H40" i="5"/>
  <c r="AS49" i="5"/>
  <c r="BE62" i="5"/>
  <c r="AS32" i="5"/>
  <c r="I56" i="5"/>
  <c r="H56" i="5"/>
  <c r="AW5" i="5"/>
  <c r="AX5" i="5" s="1"/>
  <c r="I59" i="5"/>
  <c r="K62" i="4"/>
  <c r="AR63" i="5" s="1"/>
  <c r="BC63" i="5"/>
  <c r="K46" i="4"/>
  <c r="AR47" i="5" s="1"/>
  <c r="AS48" i="5" s="1"/>
  <c r="BC47" i="5"/>
  <c r="I14" i="4"/>
  <c r="S15" i="5" s="1"/>
  <c r="J14" i="4"/>
  <c r="AF15" i="5" s="1"/>
  <c r="K14" i="4"/>
  <c r="AR15" i="5" s="1"/>
  <c r="AT15" i="5" s="1"/>
  <c r="L14" i="4"/>
  <c r="BD15" i="5" s="1"/>
  <c r="M14" i="4"/>
  <c r="BP15" i="5" s="1"/>
  <c r="L28" i="4"/>
  <c r="BD29" i="5" s="1"/>
  <c r="BC29" i="5"/>
  <c r="I12" i="4"/>
  <c r="S13" i="5" s="1"/>
  <c r="J12" i="4"/>
  <c r="AF13" i="5" s="1"/>
  <c r="K12" i="4"/>
  <c r="AR13" i="5" s="1"/>
  <c r="L12" i="4"/>
  <c r="BD13" i="5" s="1"/>
  <c r="M12" i="4"/>
  <c r="BP13" i="5" s="1"/>
  <c r="BC13" i="5"/>
  <c r="L59" i="4"/>
  <c r="BD60" i="5" s="1"/>
  <c r="BE61" i="5" s="1"/>
  <c r="BO60" i="5"/>
  <c r="L43" i="4"/>
  <c r="BD44" i="5" s="1"/>
  <c r="BE45" i="5" s="1"/>
  <c r="BO44" i="5"/>
  <c r="L27" i="4"/>
  <c r="BD28" i="5" s="1"/>
  <c r="BO28" i="5"/>
  <c r="I11" i="4"/>
  <c r="S12" i="5" s="1"/>
  <c r="J11" i="4"/>
  <c r="AF12" i="5" s="1"/>
  <c r="K11" i="4"/>
  <c r="AR12" i="5" s="1"/>
  <c r="L11" i="4"/>
  <c r="BD12" i="5" s="1"/>
  <c r="M11" i="4"/>
  <c r="BP12" i="5" s="1"/>
  <c r="BO12" i="5"/>
  <c r="BC12" i="5"/>
  <c r="F33" i="5"/>
  <c r="R39" i="5"/>
  <c r="AE62" i="5"/>
  <c r="AE44" i="5"/>
  <c r="AE8" i="5"/>
  <c r="AQ45" i="5"/>
  <c r="BC28" i="5"/>
  <c r="BO62" i="5"/>
  <c r="BO22" i="5"/>
  <c r="BC49" i="5"/>
  <c r="M57" i="4"/>
  <c r="BP58" i="5" s="1"/>
  <c r="AQ58" i="5"/>
  <c r="K41" i="4"/>
  <c r="AR42" i="5" s="1"/>
  <c r="AQ42" i="5"/>
  <c r="I25" i="4"/>
  <c r="S26" i="5" s="1"/>
  <c r="J25" i="4"/>
  <c r="AF26" i="5" s="1"/>
  <c r="AQ26" i="5"/>
  <c r="K25" i="4"/>
  <c r="AR26" i="5" s="1"/>
  <c r="L25" i="4"/>
  <c r="BD26" i="5" s="1"/>
  <c r="M25" i="4"/>
  <c r="BP26" i="5" s="1"/>
  <c r="I9" i="4"/>
  <c r="S10" i="5" s="1"/>
  <c r="J9" i="4"/>
  <c r="AF10" i="5" s="1"/>
  <c r="AQ10" i="5"/>
  <c r="K9" i="4"/>
  <c r="AR10" i="5" s="1"/>
  <c r="L9" i="4"/>
  <c r="BD10" i="5" s="1"/>
  <c r="M9" i="4"/>
  <c r="BP10" i="5" s="1"/>
  <c r="R55" i="5"/>
  <c r="AE60" i="5"/>
  <c r="AE42" i="5"/>
  <c r="AE6" i="5"/>
  <c r="AQ62" i="5"/>
  <c r="AQ23" i="5"/>
  <c r="BC48" i="5"/>
  <c r="BC26" i="5"/>
  <c r="BO59" i="5"/>
  <c r="BO39" i="5"/>
  <c r="BO18" i="5"/>
  <c r="I24" i="4"/>
  <c r="S25" i="5" s="1"/>
  <c r="T26" i="5" s="1"/>
  <c r="J24" i="4"/>
  <c r="AF25" i="5" s="1"/>
  <c r="K24" i="4"/>
  <c r="AR25" i="5" s="1"/>
  <c r="L24" i="4"/>
  <c r="BD25" i="5" s="1"/>
  <c r="M24" i="4"/>
  <c r="BP25" i="5" s="1"/>
  <c r="I8" i="4"/>
  <c r="S9" i="5" s="1"/>
  <c r="J8" i="4"/>
  <c r="AF9" i="5" s="1"/>
  <c r="K8" i="4"/>
  <c r="AR9" i="5" s="1"/>
  <c r="L8" i="4"/>
  <c r="BD9" i="5" s="1"/>
  <c r="M8" i="4"/>
  <c r="BP9" i="5" s="1"/>
  <c r="H53" i="5"/>
  <c r="R17" i="5"/>
  <c r="AE59" i="5"/>
  <c r="AE41" i="5"/>
  <c r="AE23" i="5"/>
  <c r="AQ61" i="5"/>
  <c r="AQ41" i="5"/>
  <c r="AQ22" i="5"/>
  <c r="BC45" i="5"/>
  <c r="BC25" i="5"/>
  <c r="BO58" i="5"/>
  <c r="BO38" i="5"/>
  <c r="BO17" i="5"/>
  <c r="K63" i="4"/>
  <c r="AR64" i="5" s="1"/>
  <c r="BC64" i="5"/>
  <c r="L42" i="4"/>
  <c r="BD43" i="5" s="1"/>
  <c r="R43" i="5"/>
  <c r="H37" i="5"/>
  <c r="BO61" i="5"/>
  <c r="K56" i="4"/>
  <c r="AR57" i="5" s="1"/>
  <c r="BO57" i="5"/>
  <c r="H47" i="5"/>
  <c r="L23" i="4"/>
  <c r="BD24" i="5" s="1"/>
  <c r="M23" i="4"/>
  <c r="BP24" i="5" s="1"/>
  <c r="BQ24" i="5" s="1"/>
  <c r="I23" i="4"/>
  <c r="S24" i="5" s="1"/>
  <c r="J23" i="4"/>
  <c r="AF24" i="5" s="1"/>
  <c r="K23" i="4"/>
  <c r="AR24" i="5" s="1"/>
  <c r="H30" i="5"/>
  <c r="H16" i="5"/>
  <c r="R34" i="5"/>
  <c r="R16" i="5"/>
  <c r="AE58" i="5"/>
  <c r="AE40" i="5"/>
  <c r="AQ60" i="5"/>
  <c r="BC44" i="5"/>
  <c r="BC24" i="5"/>
  <c r="BE38" i="5"/>
  <c r="BO56" i="5"/>
  <c r="BO16" i="5"/>
  <c r="R33" i="5"/>
  <c r="R15" i="5"/>
  <c r="AE57" i="5"/>
  <c r="AE39" i="5"/>
  <c r="AQ39" i="5"/>
  <c r="AQ5" i="5"/>
  <c r="BC43" i="5"/>
  <c r="BO55" i="5"/>
  <c r="BO15" i="5"/>
  <c r="J10" i="4"/>
  <c r="AF11" i="5" s="1"/>
  <c r="K10" i="4"/>
  <c r="AR11" i="5" s="1"/>
  <c r="L10" i="4"/>
  <c r="BD11" i="5" s="1"/>
  <c r="M10" i="4"/>
  <c r="BP11" i="5" s="1"/>
  <c r="R11" i="5"/>
  <c r="I10" i="4"/>
  <c r="S11" i="5" s="1"/>
  <c r="AE43" i="5"/>
  <c r="F22" i="5"/>
  <c r="I21" i="4"/>
  <c r="S22" i="5" s="1"/>
  <c r="T23" i="5" s="1"/>
  <c r="J21" i="4"/>
  <c r="AF22" i="5" s="1"/>
  <c r="K21" i="4"/>
  <c r="AR22" i="5" s="1"/>
  <c r="L21" i="4"/>
  <c r="BD22" i="5" s="1"/>
  <c r="M21" i="4"/>
  <c r="BP22" i="5" s="1"/>
  <c r="F6" i="5"/>
  <c r="I5" i="4"/>
  <c r="S6" i="5" s="1"/>
  <c r="J5" i="4"/>
  <c r="AF6" i="5" s="1"/>
  <c r="K5" i="4"/>
  <c r="AR6" i="5" s="1"/>
  <c r="L5" i="4"/>
  <c r="BD6" i="5" s="1"/>
  <c r="M5" i="4"/>
  <c r="BP6" i="5" s="1"/>
  <c r="BO6" i="5"/>
  <c r="R50" i="5"/>
  <c r="R32" i="5"/>
  <c r="R14" i="5"/>
  <c r="AE56" i="5"/>
  <c r="AE38" i="5"/>
  <c r="AQ57" i="5"/>
  <c r="AQ38" i="5"/>
  <c r="AQ18" i="5"/>
  <c r="BC62" i="5"/>
  <c r="BC42" i="5"/>
  <c r="BC22" i="5"/>
  <c r="BO34" i="5"/>
  <c r="BO14" i="5"/>
  <c r="L58" i="4"/>
  <c r="BD59" i="5" s="1"/>
  <c r="R59" i="5"/>
  <c r="F54" i="5"/>
  <c r="AQ54" i="5"/>
  <c r="BO54" i="5"/>
  <c r="AE54" i="5"/>
  <c r="I46" i="4"/>
  <c r="S47" i="5" s="1"/>
  <c r="I13" i="5"/>
  <c r="R49" i="5"/>
  <c r="R31" i="5"/>
  <c r="R13" i="5"/>
  <c r="AE55" i="5"/>
  <c r="AE17" i="5"/>
  <c r="AQ56" i="5"/>
  <c r="AQ15" i="5"/>
  <c r="BC61" i="5"/>
  <c r="BC41" i="5"/>
  <c r="BO33" i="5"/>
  <c r="BO13" i="5"/>
  <c r="M39" i="4"/>
  <c r="BP40" i="5" s="1"/>
  <c r="BO40" i="5"/>
  <c r="L7" i="4"/>
  <c r="BD8" i="5" s="1"/>
  <c r="M7" i="4"/>
  <c r="BP8" i="5" s="1"/>
  <c r="BQ9" i="5" s="1"/>
  <c r="I7" i="4"/>
  <c r="S8" i="5" s="1"/>
  <c r="J7" i="4"/>
  <c r="AF8" i="5" s="1"/>
  <c r="K7" i="4"/>
  <c r="AR8" i="5" s="1"/>
  <c r="I22" i="4"/>
  <c r="S23" i="5" s="1"/>
  <c r="J22" i="4"/>
  <c r="AF23" i="5" s="1"/>
  <c r="K22" i="4"/>
  <c r="AR23" i="5" s="1"/>
  <c r="AS23" i="5" s="1"/>
  <c r="L22" i="4"/>
  <c r="BD23" i="5" s="1"/>
  <c r="M22" i="4"/>
  <c r="BP23" i="5" s="1"/>
  <c r="BO23" i="5"/>
  <c r="I6" i="4"/>
  <c r="S7" i="5" s="1"/>
  <c r="T7" i="5" s="1"/>
  <c r="J6" i="4"/>
  <c r="AF7" i="5" s="1"/>
  <c r="K6" i="4"/>
  <c r="AR7" i="5" s="1"/>
  <c r="L6" i="4"/>
  <c r="BD7" i="5" s="1"/>
  <c r="M6" i="4"/>
  <c r="BP7" i="5" s="1"/>
  <c r="F52" i="5"/>
  <c r="AE52" i="5"/>
  <c r="R52" i="5"/>
  <c r="F36" i="5"/>
  <c r="AE36" i="5"/>
  <c r="BO36" i="5"/>
  <c r="F20" i="5"/>
  <c r="I19" i="4"/>
  <c r="S20" i="5" s="1"/>
  <c r="U25" i="5" s="1"/>
  <c r="J19" i="4"/>
  <c r="AF20" i="5" s="1"/>
  <c r="K19" i="4"/>
  <c r="AR20" i="5" s="1"/>
  <c r="L19" i="4"/>
  <c r="BD20" i="5" s="1"/>
  <c r="M19" i="4"/>
  <c r="BP20" i="5" s="1"/>
  <c r="AE20" i="5"/>
  <c r="BO20" i="5"/>
  <c r="AQ20" i="5"/>
  <c r="I43" i="4"/>
  <c r="S44" i="5" s="1"/>
  <c r="I28" i="5"/>
  <c r="I12" i="5"/>
  <c r="H28" i="5"/>
  <c r="R48" i="5"/>
  <c r="R30" i="5"/>
  <c r="R12" i="5"/>
  <c r="AQ55" i="5"/>
  <c r="AQ36" i="5"/>
  <c r="AQ14" i="5"/>
  <c r="BC60" i="5"/>
  <c r="BC40" i="5"/>
  <c r="BO32" i="5"/>
  <c r="BO11" i="5"/>
  <c r="AE61" i="5"/>
  <c r="AQ63" i="5"/>
  <c r="I45" i="5"/>
  <c r="R47" i="5"/>
  <c r="R29" i="5"/>
  <c r="R10" i="5"/>
  <c r="AE15" i="5"/>
  <c r="AQ13" i="5"/>
  <c r="BC59" i="5"/>
  <c r="BC39" i="5"/>
  <c r="BO31" i="5"/>
  <c r="BO10" i="5"/>
  <c r="L26" i="4"/>
  <c r="BD27" i="5" s="1"/>
  <c r="R27" i="5"/>
  <c r="K49" i="4"/>
  <c r="AR50" i="5" s="1"/>
  <c r="BC50" i="5"/>
  <c r="AQ50" i="5"/>
  <c r="K33" i="4"/>
  <c r="AR34" i="5" s="1"/>
  <c r="AQ34" i="5"/>
  <c r="I17" i="4"/>
  <c r="S18" i="5" s="1"/>
  <c r="J17" i="4"/>
  <c r="AF18" i="5" s="1"/>
  <c r="K17" i="4"/>
  <c r="AR18" i="5" s="1"/>
  <c r="L17" i="4"/>
  <c r="BD18" i="5" s="1"/>
  <c r="M17" i="4"/>
  <c r="BP18" i="5" s="1"/>
  <c r="AE18" i="5"/>
  <c r="R18" i="5"/>
  <c r="I44" i="5"/>
  <c r="R64" i="5"/>
  <c r="R46" i="5"/>
  <c r="R28" i="5"/>
  <c r="R9" i="5"/>
  <c r="AE50" i="5"/>
  <c r="AE32" i="5"/>
  <c r="AE14" i="5"/>
  <c r="AQ52" i="5"/>
  <c r="AQ32" i="5"/>
  <c r="AQ12" i="5"/>
  <c r="BC58" i="5"/>
  <c r="BC38" i="5"/>
  <c r="BO49" i="5"/>
  <c r="BO30" i="5"/>
  <c r="BO9" i="5"/>
  <c r="K32" i="4"/>
  <c r="AR33" i="5" s="1"/>
  <c r="BC33" i="5"/>
  <c r="AQ33" i="5"/>
  <c r="I16" i="4"/>
  <c r="S17" i="5" s="1"/>
  <c r="U17" i="5" s="1"/>
  <c r="J16" i="4"/>
  <c r="AF17" i="5" s="1"/>
  <c r="K16" i="4"/>
  <c r="AR17" i="5" s="1"/>
  <c r="L16" i="4"/>
  <c r="BD17" i="5" s="1"/>
  <c r="BF17" i="5" s="1"/>
  <c r="M16" i="4"/>
  <c r="BP17" i="5" s="1"/>
  <c r="AQ17" i="5"/>
  <c r="I43" i="5"/>
  <c r="I25" i="5"/>
  <c r="R63" i="5"/>
  <c r="R45" i="5"/>
  <c r="R26" i="5"/>
  <c r="R8" i="5"/>
  <c r="AE49" i="5"/>
  <c r="AE31" i="5"/>
  <c r="AE13" i="5"/>
  <c r="AQ31" i="5"/>
  <c r="AQ11" i="5"/>
  <c r="BC57" i="5"/>
  <c r="BC36" i="5"/>
  <c r="BC15" i="5"/>
  <c r="BO48" i="5"/>
  <c r="BO29" i="5"/>
  <c r="BO8" i="5"/>
  <c r="L15" i="4"/>
  <c r="BD16" i="5" s="1"/>
  <c r="M15" i="4"/>
  <c r="BP16" i="5" s="1"/>
  <c r="I15" i="4"/>
  <c r="S16" i="5" s="1"/>
  <c r="J15" i="4"/>
  <c r="AF16" i="5" s="1"/>
  <c r="K15" i="4"/>
  <c r="AR16" i="5" s="1"/>
  <c r="BC16" i="5"/>
  <c r="AQ16" i="5"/>
  <c r="J44" i="4"/>
  <c r="AF45" i="5" s="1"/>
  <c r="I60" i="5"/>
  <c r="I42" i="5"/>
  <c r="R62" i="5"/>
  <c r="R44" i="5"/>
  <c r="R25" i="5"/>
  <c r="R7" i="5"/>
  <c r="R5" i="5"/>
  <c r="AE48" i="5"/>
  <c r="AE30" i="5"/>
  <c r="AE12" i="5"/>
  <c r="AQ49" i="5"/>
  <c r="AQ9" i="5"/>
  <c r="BC56" i="5"/>
  <c r="BC5" i="5"/>
  <c r="BO47" i="5"/>
  <c r="BO27" i="5"/>
  <c r="BO7" i="5"/>
  <c r="I41" i="5"/>
  <c r="H23" i="5"/>
  <c r="H7" i="5"/>
  <c r="R61" i="5"/>
  <c r="R42" i="5"/>
  <c r="R24" i="5"/>
  <c r="R6" i="5"/>
  <c r="AE5" i="5"/>
  <c r="AE47" i="5"/>
  <c r="AE29" i="5"/>
  <c r="AE11" i="5"/>
  <c r="AQ48" i="5"/>
  <c r="AQ29" i="5"/>
  <c r="AQ8" i="5"/>
  <c r="BC55" i="5"/>
  <c r="BC34" i="5"/>
  <c r="BC11" i="5"/>
  <c r="BO5" i="5"/>
  <c r="BO26" i="5"/>
  <c r="L45" i="4"/>
  <c r="BD46" i="5" s="1"/>
  <c r="BC46" i="5"/>
  <c r="L29" i="4"/>
  <c r="BD30" i="5" s="1"/>
  <c r="BC30" i="5"/>
  <c r="I13" i="4"/>
  <c r="S14" i="5" s="1"/>
  <c r="T14" i="5" s="1"/>
  <c r="J13" i="4"/>
  <c r="AF14" i="5" s="1"/>
  <c r="AH14" i="5" s="1"/>
  <c r="K13" i="4"/>
  <c r="AR14" i="5" s="1"/>
  <c r="AS15" i="5" s="1"/>
  <c r="L13" i="4"/>
  <c r="BD14" i="5" s="1"/>
  <c r="BF14" i="5" s="1"/>
  <c r="M13" i="4"/>
  <c r="BP14" i="5" s="1"/>
  <c r="K29" i="4"/>
  <c r="AR30" i="5" s="1"/>
  <c r="I58" i="5"/>
  <c r="H58" i="5"/>
  <c r="R60" i="5"/>
  <c r="R41" i="5"/>
  <c r="R23" i="5"/>
  <c r="AE64" i="5"/>
  <c r="AE46" i="5"/>
  <c r="AE28" i="5"/>
  <c r="AE10" i="5"/>
  <c r="AQ47" i="5"/>
  <c r="AQ28" i="5"/>
  <c r="AQ7" i="5"/>
  <c r="BC54" i="5"/>
  <c r="BC32" i="5"/>
  <c r="BC10" i="5"/>
  <c r="BO64" i="5"/>
  <c r="BO45" i="5"/>
  <c r="BO25" i="5"/>
  <c r="H51" i="5"/>
  <c r="H35" i="5"/>
  <c r="I57" i="5"/>
  <c r="H21" i="5"/>
  <c r="R58" i="5"/>
  <c r="R40" i="5"/>
  <c r="R22" i="5"/>
  <c r="AE63" i="5"/>
  <c r="AE45" i="5"/>
  <c r="AE27" i="5"/>
  <c r="AE9" i="5"/>
  <c r="F5" i="5"/>
  <c r="AQ46" i="5"/>
  <c r="AQ27" i="5"/>
  <c r="AQ6" i="5"/>
  <c r="BC52" i="5"/>
  <c r="BC31" i="5"/>
  <c r="BC9" i="5"/>
  <c r="BO63" i="5"/>
  <c r="BO43" i="5"/>
  <c r="BO24" i="5"/>
  <c r="J18" i="4"/>
  <c r="AF19" i="5" s="1"/>
  <c r="AG20" i="5" s="1"/>
  <c r="K18" i="4"/>
  <c r="AR19" i="5" s="1"/>
  <c r="L18" i="4"/>
  <c r="BD19" i="5" s="1"/>
  <c r="M18" i="4"/>
  <c r="BP19" i="5" s="1"/>
  <c r="BR19" i="5" s="1"/>
  <c r="I18" i="4"/>
  <c r="S19" i="5" s="1"/>
  <c r="R35" i="5"/>
  <c r="AE35" i="5"/>
  <c r="BO19" i="5"/>
  <c r="M20" i="4"/>
  <c r="BP21" i="5" s="1"/>
  <c r="BR26" i="5" s="1"/>
  <c r="L20" i="4"/>
  <c r="BD21" i="5" s="1"/>
  <c r="K20" i="4"/>
  <c r="AR21" i="5" s="1"/>
  <c r="AT21" i="5" s="1"/>
  <c r="J20" i="4"/>
  <c r="AF21" i="5" s="1"/>
  <c r="I20" i="4"/>
  <c r="S21" i="5" s="1"/>
  <c r="U26" i="5" s="1"/>
  <c r="I52" i="4"/>
  <c r="S53" i="5" s="1"/>
  <c r="BC53" i="5"/>
  <c r="BC37" i="5"/>
  <c r="BC21" i="5"/>
  <c r="H12" i="5"/>
  <c r="AS10" i="5"/>
  <c r="H10" i="5"/>
  <c r="H19" i="5"/>
  <c r="AG11" i="5"/>
  <c r="AS6" i="5"/>
  <c r="BF12" i="5"/>
  <c r="H18" i="5"/>
  <c r="H14" i="5"/>
  <c r="AS20" i="5"/>
  <c r="I14" i="5"/>
  <c r="H26" i="5"/>
  <c r="H24" i="5"/>
  <c r="H13" i="5"/>
  <c r="H59" i="5"/>
  <c r="H43" i="5"/>
  <c r="H27" i="5"/>
  <c r="H11" i="5"/>
  <c r="I53" i="5"/>
  <c r="I37" i="5"/>
  <c r="I21" i="5"/>
  <c r="T37" i="5"/>
  <c r="H57" i="5"/>
  <c r="H41" i="5"/>
  <c r="H25" i="5"/>
  <c r="H9" i="5"/>
  <c r="I51" i="5"/>
  <c r="I35" i="5"/>
  <c r="I19" i="5"/>
  <c r="I20" i="5"/>
  <c r="I50" i="5"/>
  <c r="I34" i="5"/>
  <c r="I18" i="5"/>
  <c r="AG21" i="5"/>
  <c r="I52" i="5"/>
  <c r="I49" i="5"/>
  <c r="I33" i="5"/>
  <c r="I17" i="5"/>
  <c r="U11" i="5"/>
  <c r="H54" i="5"/>
  <c r="H38" i="5"/>
  <c r="H22" i="5"/>
  <c r="I64" i="5"/>
  <c r="I48" i="5"/>
  <c r="I32" i="5"/>
  <c r="I16" i="5"/>
  <c r="I23" i="5"/>
  <c r="I38" i="5"/>
  <c r="I63" i="5"/>
  <c r="I47" i="5"/>
  <c r="I31" i="5"/>
  <c r="I15" i="5"/>
  <c r="I22" i="5"/>
  <c r="I62" i="5"/>
  <c r="I46" i="5"/>
  <c r="I30" i="5"/>
  <c r="I36" i="5"/>
  <c r="I61" i="5"/>
  <c r="I29" i="5"/>
  <c r="H50" i="5"/>
  <c r="H34" i="5"/>
  <c r="L6" i="5"/>
  <c r="AH11" i="5"/>
  <c r="I54" i="5"/>
  <c r="T11" i="5"/>
  <c r="AH26" i="5"/>
  <c r="H64" i="5"/>
  <c r="H63" i="5"/>
  <c r="J45" i="4"/>
  <c r="AF46" i="5" s="1"/>
  <c r="AG46" i="5" s="1"/>
  <c r="F63" i="5"/>
  <c r="K61" i="4"/>
  <c r="AR62" i="5" s="1"/>
  <c r="F50" i="5"/>
  <c r="I42" i="4"/>
  <c r="S43" i="5" s="1"/>
  <c r="J42" i="4"/>
  <c r="AF43" i="5" s="1"/>
  <c r="K60" i="4"/>
  <c r="AR61" i="5" s="1"/>
  <c r="F49" i="5"/>
  <c r="I37" i="4"/>
  <c r="S38" i="5" s="1"/>
  <c r="J33" i="4"/>
  <c r="AF34" i="5" s="1"/>
  <c r="AG35" i="5" s="1"/>
  <c r="K59" i="4"/>
  <c r="AR60" i="5" s="1"/>
  <c r="F47" i="5"/>
  <c r="J32" i="4"/>
  <c r="AF33" i="5" s="1"/>
  <c r="K58" i="4"/>
  <c r="AR59" i="5" s="1"/>
  <c r="M4" i="4"/>
  <c r="BP5" i="5" s="1"/>
  <c r="F34" i="5"/>
  <c r="J4" i="4"/>
  <c r="AF5" i="5" s="1"/>
  <c r="AK5" i="5" s="1"/>
  <c r="J30" i="4"/>
  <c r="AF31" i="5" s="1"/>
  <c r="AH31" i="5" s="1"/>
  <c r="K45" i="4"/>
  <c r="AR46" i="5" s="1"/>
  <c r="M49" i="4"/>
  <c r="BP50" i="5" s="1"/>
  <c r="BR55" i="5" s="1"/>
  <c r="F31" i="5"/>
  <c r="J31" i="4"/>
  <c r="AF32" i="5" s="1"/>
  <c r="I4" i="4"/>
  <c r="S5" i="5" s="1"/>
  <c r="U10" i="5" s="1"/>
  <c r="I62" i="4"/>
  <c r="S63" i="5" s="1"/>
  <c r="I33" i="4"/>
  <c r="S34" i="5" s="1"/>
  <c r="T35" i="5" s="1"/>
  <c r="J63" i="4"/>
  <c r="AF64" i="5" s="1"/>
  <c r="J29" i="4"/>
  <c r="AF30" i="5" s="1"/>
  <c r="K44" i="4"/>
  <c r="AR45" i="5" s="1"/>
  <c r="M48" i="4"/>
  <c r="BP49" i="5" s="1"/>
  <c r="F30" i="5"/>
  <c r="I59" i="4"/>
  <c r="S60" i="5" s="1"/>
  <c r="I32" i="4"/>
  <c r="S33" i="5" s="1"/>
  <c r="J62" i="4"/>
  <c r="AF63" i="5" s="1"/>
  <c r="J28" i="4"/>
  <c r="AF29" i="5" s="1"/>
  <c r="K43" i="4"/>
  <c r="AR44" i="5" s="1"/>
  <c r="M35" i="4"/>
  <c r="BP36" i="5" s="1"/>
  <c r="BR41" i="5" s="1"/>
  <c r="F18" i="5"/>
  <c r="I58" i="4"/>
  <c r="S59" i="5" s="1"/>
  <c r="I30" i="4"/>
  <c r="S31" i="5" s="1"/>
  <c r="V31" i="5" s="1"/>
  <c r="J61" i="4"/>
  <c r="AF62" i="5" s="1"/>
  <c r="J26" i="4"/>
  <c r="AF27" i="5" s="1"/>
  <c r="AG27" i="5" s="1"/>
  <c r="K42" i="4"/>
  <c r="AR43" i="5" s="1"/>
  <c r="AT48" i="5" s="1"/>
  <c r="M33" i="4"/>
  <c r="BP34" i="5" s="1"/>
  <c r="F17" i="5"/>
  <c r="I53" i="4"/>
  <c r="S54" i="5" s="1"/>
  <c r="I27" i="4"/>
  <c r="S28" i="5" s="1"/>
  <c r="J60" i="4"/>
  <c r="AF61" i="5" s="1"/>
  <c r="K35" i="4"/>
  <c r="AR36" i="5" s="1"/>
  <c r="M32" i="4"/>
  <c r="BP33" i="5" s="1"/>
  <c r="I26" i="4"/>
  <c r="S27" i="5" s="1"/>
  <c r="T27" i="5" s="1"/>
  <c r="J58" i="4"/>
  <c r="AF59" i="5" s="1"/>
  <c r="I51" i="4"/>
  <c r="S52" i="5" s="1"/>
  <c r="J49" i="4"/>
  <c r="AF50" i="5" s="1"/>
  <c r="AH50" i="5" s="1"/>
  <c r="K28" i="4"/>
  <c r="AR29" i="5" s="1"/>
  <c r="I50" i="4"/>
  <c r="S51" i="5" s="1"/>
  <c r="J48" i="4"/>
  <c r="AF49" i="5" s="1"/>
  <c r="K27" i="4"/>
  <c r="AR28" i="5" s="1"/>
  <c r="I49" i="4"/>
  <c r="S50" i="5" s="1"/>
  <c r="J47" i="4"/>
  <c r="AF48" i="5" s="1"/>
  <c r="K26" i="4"/>
  <c r="AR27" i="5" s="1"/>
  <c r="I48" i="4"/>
  <c r="S49" i="5" s="1"/>
  <c r="U49" i="5" s="1"/>
  <c r="J46" i="4"/>
  <c r="AF47" i="5" s="1"/>
  <c r="L57" i="4"/>
  <c r="BD58" i="5" s="1"/>
  <c r="L41" i="4"/>
  <c r="BD42" i="5" s="1"/>
  <c r="M53" i="4"/>
  <c r="BP54" i="5" s="1"/>
  <c r="M37" i="4"/>
  <c r="BP38" i="5" s="1"/>
  <c r="F51" i="5"/>
  <c r="F35" i="5"/>
  <c r="F19" i="5"/>
  <c r="L56" i="4"/>
  <c r="BD57" i="5" s="1"/>
  <c r="BF62" i="5" s="1"/>
  <c r="L40" i="4"/>
  <c r="BD41" i="5" s="1"/>
  <c r="M52" i="4"/>
  <c r="BP53" i="5" s="1"/>
  <c r="M36" i="4"/>
  <c r="BP37" i="5" s="1"/>
  <c r="L55" i="4"/>
  <c r="BD56" i="5" s="1"/>
  <c r="BF61" i="5" s="1"/>
  <c r="L39" i="4"/>
  <c r="BD40" i="5" s="1"/>
  <c r="BF45" i="5" s="1"/>
  <c r="L54" i="4"/>
  <c r="BD55" i="5" s="1"/>
  <c r="L38" i="4"/>
  <c r="BD39" i="5" s="1"/>
  <c r="M50" i="4"/>
  <c r="BP51" i="5" s="1"/>
  <c r="BQ52" i="5" s="1"/>
  <c r="M34" i="4"/>
  <c r="BP35" i="5" s="1"/>
  <c r="F64" i="5"/>
  <c r="F48" i="5"/>
  <c r="F32" i="5"/>
  <c r="F16" i="5"/>
  <c r="F62" i="5"/>
  <c r="F46" i="5"/>
  <c r="F14" i="5"/>
  <c r="I63" i="4"/>
  <c r="S64" i="5" s="1"/>
  <c r="I47" i="4"/>
  <c r="S48" i="5" s="1"/>
  <c r="I31" i="4"/>
  <c r="S32" i="5" s="1"/>
  <c r="U32" i="5" s="1"/>
  <c r="J59" i="4"/>
  <c r="AF60" i="5" s="1"/>
  <c r="J43" i="4"/>
  <c r="AF44" i="5" s="1"/>
  <c r="AH44" i="5" s="1"/>
  <c r="J27" i="4"/>
  <c r="AF28" i="5" s="1"/>
  <c r="K55" i="4"/>
  <c r="AR56" i="5" s="1"/>
  <c r="K39" i="4"/>
  <c r="AR40" i="5" s="1"/>
  <c r="L51" i="4"/>
  <c r="BD52" i="5" s="1"/>
  <c r="L35" i="4"/>
  <c r="BD36" i="5" s="1"/>
  <c r="M63" i="4"/>
  <c r="BP64" i="5" s="1"/>
  <c r="M47" i="4"/>
  <c r="BP48" i="5" s="1"/>
  <c r="M31" i="4"/>
  <c r="BP32" i="5" s="1"/>
  <c r="F61" i="5"/>
  <c r="F45" i="5"/>
  <c r="F29" i="5"/>
  <c r="F13" i="5"/>
  <c r="K54" i="4"/>
  <c r="AR55" i="5" s="1"/>
  <c r="K38" i="4"/>
  <c r="AR39" i="5" s="1"/>
  <c r="L50" i="4"/>
  <c r="BD51" i="5" s="1"/>
  <c r="L34" i="4"/>
  <c r="BD35" i="5" s="1"/>
  <c r="BG35" i="5" s="1"/>
  <c r="M62" i="4"/>
  <c r="BP63" i="5" s="1"/>
  <c r="M46" i="4"/>
  <c r="BP47" i="5" s="1"/>
  <c r="BR52" i="5" s="1"/>
  <c r="M30" i="4"/>
  <c r="BP31" i="5" s="1"/>
  <c r="F60" i="5"/>
  <c r="F44" i="5"/>
  <c r="F28" i="5"/>
  <c r="F12" i="5"/>
  <c r="I29" i="4"/>
  <c r="S30" i="5" s="1"/>
  <c r="U30" i="5" s="1"/>
  <c r="J57" i="4"/>
  <c r="AF58" i="5" s="1"/>
  <c r="J41" i="4"/>
  <c r="AF42" i="5" s="1"/>
  <c r="K53" i="4"/>
  <c r="AR54" i="5" s="1"/>
  <c r="K37" i="4"/>
  <c r="AR38" i="5" s="1"/>
  <c r="AT38" i="5" s="1"/>
  <c r="L49" i="4"/>
  <c r="BD50" i="5" s="1"/>
  <c r="L33" i="4"/>
  <c r="BD34" i="5" s="1"/>
  <c r="BG34" i="5" s="1"/>
  <c r="M61" i="4"/>
  <c r="BP62" i="5" s="1"/>
  <c r="M45" i="4"/>
  <c r="BP46" i="5" s="1"/>
  <c r="M29" i="4"/>
  <c r="BP30" i="5" s="1"/>
  <c r="F59" i="5"/>
  <c r="F43" i="5"/>
  <c r="F27" i="5"/>
  <c r="F11" i="5"/>
  <c r="I61" i="4"/>
  <c r="S62" i="5" s="1"/>
  <c r="I45" i="4"/>
  <c r="S46" i="5" s="1"/>
  <c r="I60" i="4"/>
  <c r="S61" i="5" s="1"/>
  <c r="U61" i="5" s="1"/>
  <c r="I44" i="4"/>
  <c r="S45" i="5" s="1"/>
  <c r="I28" i="4"/>
  <c r="S29" i="5" s="1"/>
  <c r="J56" i="4"/>
  <c r="AF57" i="5" s="1"/>
  <c r="J40" i="4"/>
  <c r="AF41" i="5" s="1"/>
  <c r="K52" i="4"/>
  <c r="AR53" i="5" s="1"/>
  <c r="K36" i="4"/>
  <c r="AR37" i="5" s="1"/>
  <c r="L4" i="4"/>
  <c r="BD5" i="5" s="1"/>
  <c r="L48" i="4"/>
  <c r="BD49" i="5" s="1"/>
  <c r="L32" i="4"/>
  <c r="BD33" i="5" s="1"/>
  <c r="M60" i="4"/>
  <c r="BP61" i="5" s="1"/>
  <c r="M44" i="4"/>
  <c r="BP45" i="5" s="1"/>
  <c r="M28" i="4"/>
  <c r="BP29" i="5" s="1"/>
  <c r="F58" i="5"/>
  <c r="F42" i="5"/>
  <c r="F26" i="5"/>
  <c r="F10" i="5"/>
  <c r="K57" i="4"/>
  <c r="AR58" i="5" s="1"/>
  <c r="K40" i="4"/>
  <c r="AR41" i="5" s="1"/>
  <c r="J39" i="4"/>
  <c r="AF40" i="5" s="1"/>
  <c r="AH40" i="5" s="1"/>
  <c r="L63" i="4"/>
  <c r="BD64" i="5" s="1"/>
  <c r="L47" i="4"/>
  <c r="BD48" i="5" s="1"/>
  <c r="L31" i="4"/>
  <c r="BD32" i="5" s="1"/>
  <c r="BF37" i="5" s="1"/>
  <c r="M59" i="4"/>
  <c r="BP60" i="5" s="1"/>
  <c r="M43" i="4"/>
  <c r="BP44" i="5" s="1"/>
  <c r="M27" i="4"/>
  <c r="BP28" i="5" s="1"/>
  <c r="BS28" i="5" s="1"/>
  <c r="F57" i="5"/>
  <c r="F41" i="5"/>
  <c r="F25" i="5"/>
  <c r="F9" i="5"/>
  <c r="J54" i="4"/>
  <c r="AF55" i="5" s="1"/>
  <c r="J38" i="4"/>
  <c r="AF39" i="5" s="1"/>
  <c r="K50" i="4"/>
  <c r="AR51" i="5" s="1"/>
  <c r="K34" i="4"/>
  <c r="AR35" i="5" s="1"/>
  <c r="L62" i="4"/>
  <c r="BD63" i="5" s="1"/>
  <c r="L46" i="4"/>
  <c r="BD47" i="5" s="1"/>
  <c r="L30" i="4"/>
  <c r="BD31" i="5" s="1"/>
  <c r="M58" i="4"/>
  <c r="BP59" i="5" s="1"/>
  <c r="M42" i="4"/>
  <c r="BP43" i="5" s="1"/>
  <c r="M26" i="4"/>
  <c r="BP27" i="5" s="1"/>
  <c r="F56" i="5"/>
  <c r="F40" i="5"/>
  <c r="F24" i="5"/>
  <c r="F8" i="5"/>
  <c r="L53" i="4"/>
  <c r="BD54" i="5" s="1"/>
  <c r="L52" i="4"/>
  <c r="BD53" i="5" s="1"/>
  <c r="I57" i="4"/>
  <c r="S58" i="5" s="1"/>
  <c r="I41" i="4"/>
  <c r="S42" i="5" s="1"/>
  <c r="J53" i="4"/>
  <c r="AF54" i="5" s="1"/>
  <c r="J37" i="4"/>
  <c r="AF38" i="5" s="1"/>
  <c r="AH38" i="5" s="1"/>
  <c r="M41" i="4"/>
  <c r="BP42" i="5" s="1"/>
  <c r="F55" i="5"/>
  <c r="F39" i="5"/>
  <c r="F23" i="5"/>
  <c r="F7" i="5"/>
  <c r="I56" i="4"/>
  <c r="S57" i="5" s="1"/>
  <c r="I40" i="4"/>
  <c r="S41" i="5" s="1"/>
  <c r="U41" i="5" s="1"/>
  <c r="J52" i="4"/>
  <c r="AF53" i="5" s="1"/>
  <c r="AG53" i="5" s="1"/>
  <c r="J36" i="4"/>
  <c r="AF37" i="5" s="1"/>
  <c r="AG37" i="5" s="1"/>
  <c r="M56" i="4"/>
  <c r="BP57" i="5" s="1"/>
  <c r="F38" i="5"/>
  <c r="I39" i="4"/>
  <c r="S40" i="5" s="1"/>
  <c r="J51" i="4"/>
  <c r="AF52" i="5" s="1"/>
  <c r="J35" i="4"/>
  <c r="AF36" i="5" s="1"/>
  <c r="AG36" i="5" s="1"/>
  <c r="M55" i="4"/>
  <c r="BP56" i="5" s="1"/>
  <c r="F37" i="5"/>
  <c r="J55" i="4"/>
  <c r="AF56" i="5" s="1"/>
  <c r="AH56" i="5" s="1"/>
  <c r="I54" i="4"/>
  <c r="S55" i="5" s="1"/>
  <c r="U60" i="5" s="1"/>
  <c r="I38" i="4"/>
  <c r="S39" i="5" s="1"/>
  <c r="V39" i="5" s="1"/>
  <c r="AG18" i="5" l="1"/>
  <c r="U47" i="5"/>
  <c r="AG26" i="5"/>
  <c r="U15" i="5"/>
  <c r="AS16" i="5"/>
  <c r="BS42" i="5"/>
  <c r="V57" i="5"/>
  <c r="BQ23" i="5"/>
  <c r="AG28" i="5"/>
  <c r="AG49" i="5"/>
  <c r="AH60" i="5"/>
  <c r="V35" i="5"/>
  <c r="V29" i="5"/>
  <c r="AI58" i="5"/>
  <c r="AS17" i="5"/>
  <c r="AG7" i="5"/>
  <c r="BQ7" i="5"/>
  <c r="BE12" i="5"/>
  <c r="BE7" i="5"/>
  <c r="BE13" i="5"/>
  <c r="AS21" i="5"/>
  <c r="BS34" i="5"/>
  <c r="AG30" i="5"/>
  <c r="V50" i="5"/>
  <c r="AU37" i="5"/>
  <c r="V64" i="5"/>
  <c r="U51" i="5"/>
  <c r="AG57" i="5"/>
  <c r="AS29" i="5"/>
  <c r="AG32" i="5"/>
  <c r="BR23" i="5"/>
  <c r="AI42" i="5"/>
  <c r="AI12" i="5"/>
  <c r="BF23" i="5"/>
  <c r="AG23" i="5"/>
  <c r="BS12" i="5"/>
  <c r="U33" i="5"/>
  <c r="AH25" i="5"/>
  <c r="AS7" i="5"/>
  <c r="T36" i="5"/>
  <c r="AT41" i="5"/>
  <c r="AG63" i="5"/>
  <c r="BS24" i="5"/>
  <c r="BF11" i="5"/>
  <c r="AU39" i="5"/>
  <c r="AU28" i="5"/>
  <c r="BQ14" i="5"/>
  <c r="T48" i="5"/>
  <c r="AH49" i="5"/>
  <c r="U63" i="5"/>
  <c r="AT22" i="5"/>
  <c r="T16" i="5"/>
  <c r="BF25" i="5"/>
  <c r="AS18" i="5"/>
  <c r="T8" i="5"/>
  <c r="T53" i="5"/>
  <c r="V7" i="5"/>
  <c r="U45" i="5"/>
  <c r="V27" i="5"/>
  <c r="U42" i="5"/>
  <c r="T61" i="5"/>
  <c r="BR28" i="5"/>
  <c r="AI36" i="5"/>
  <c r="V23" i="5"/>
  <c r="J30" i="5"/>
  <c r="BQ18" i="5"/>
  <c r="BG23" i="5"/>
  <c r="T58" i="5"/>
  <c r="BG37" i="5"/>
  <c r="AS57" i="5"/>
  <c r="V54" i="5"/>
  <c r="AH33" i="5"/>
  <c r="U58" i="5"/>
  <c r="AU31" i="5"/>
  <c r="BE27" i="5"/>
  <c r="BS55" i="5"/>
  <c r="AG64" i="5"/>
  <c r="AU42" i="5"/>
  <c r="BS37" i="5"/>
  <c r="AH30" i="5"/>
  <c r="AU24" i="5"/>
  <c r="BE23" i="5"/>
  <c r="BS7" i="5"/>
  <c r="V9" i="5"/>
  <c r="AG12" i="5"/>
  <c r="J5" i="5"/>
  <c r="AU13" i="5"/>
  <c r="AU36" i="5"/>
  <c r="BS39" i="5"/>
  <c r="AS24" i="5"/>
  <c r="BR25" i="5"/>
  <c r="T13" i="5"/>
  <c r="BF15" i="5"/>
  <c r="AG34" i="5"/>
  <c r="BG32" i="5"/>
  <c r="BS29" i="5"/>
  <c r="AU49" i="5"/>
  <c r="BG61" i="5"/>
  <c r="AI59" i="5"/>
  <c r="AI8" i="5"/>
  <c r="AG24" i="5"/>
  <c r="BG7" i="5"/>
  <c r="BS40" i="5"/>
  <c r="J29" i="5"/>
  <c r="V59" i="5"/>
  <c r="AG43" i="5"/>
  <c r="T21" i="5"/>
  <c r="BE14" i="5"/>
  <c r="V19" i="5"/>
  <c r="BG27" i="5"/>
  <c r="AU40" i="5"/>
  <c r="AI44" i="5"/>
  <c r="BR21" i="5"/>
  <c r="V38" i="5"/>
  <c r="BG45" i="5"/>
  <c r="BE28" i="5"/>
  <c r="U48" i="5"/>
  <c r="K50" i="5"/>
  <c r="U16" i="5"/>
  <c r="BQ19" i="5"/>
  <c r="AI23" i="5"/>
  <c r="AI30" i="5"/>
  <c r="BE17" i="5"/>
  <c r="BS52" i="5"/>
  <c r="J35" i="5"/>
  <c r="BG30" i="5"/>
  <c r="V53" i="5"/>
  <c r="BS41" i="5"/>
  <c r="AU32" i="5"/>
  <c r="V18" i="5"/>
  <c r="T45" i="5"/>
  <c r="U13" i="5"/>
  <c r="V56" i="5"/>
  <c r="AU52" i="5"/>
  <c r="BR12" i="5"/>
  <c r="BE64" i="5"/>
  <c r="BG64" i="5"/>
  <c r="E8" i="6" s="1" a="1"/>
  <c r="E8" i="6" s="1"/>
  <c r="BF64" i="5"/>
  <c r="AG41" i="5"/>
  <c r="J13" i="5"/>
  <c r="BF41" i="5"/>
  <c r="BE41" i="5"/>
  <c r="V5" i="5"/>
  <c r="AS61" i="5"/>
  <c r="AT61" i="5"/>
  <c r="AU61" i="5"/>
  <c r="T43" i="5"/>
  <c r="T44" i="5"/>
  <c r="U56" i="5"/>
  <c r="V16" i="5"/>
  <c r="AI46" i="5"/>
  <c r="V51" i="5"/>
  <c r="U31" i="5"/>
  <c r="V6" i="5"/>
  <c r="BS27" i="5"/>
  <c r="V32" i="5"/>
  <c r="AU38" i="5"/>
  <c r="AI16" i="5"/>
  <c r="BS18" i="5"/>
  <c r="AU8" i="5"/>
  <c r="BR22" i="5"/>
  <c r="BS22" i="5"/>
  <c r="AG9" i="5"/>
  <c r="AT12" i="5"/>
  <c r="AU12" i="5"/>
  <c r="AS12" i="5"/>
  <c r="BE29" i="5"/>
  <c r="BG29" i="5"/>
  <c r="BF31" i="5"/>
  <c r="BE31" i="5"/>
  <c r="BS15" i="5"/>
  <c r="BQ15" i="5"/>
  <c r="AI13" i="5"/>
  <c r="BS13" i="5"/>
  <c r="AU27" i="5"/>
  <c r="J37" i="5"/>
  <c r="J61" i="5"/>
  <c r="AI10" i="5"/>
  <c r="BF10" i="5"/>
  <c r="BG10" i="5"/>
  <c r="BE10" i="5"/>
  <c r="AI54" i="5"/>
  <c r="AH54" i="5"/>
  <c r="AU44" i="5"/>
  <c r="AT44" i="5"/>
  <c r="AS44" i="5"/>
  <c r="U62" i="5"/>
  <c r="AS19" i="5"/>
  <c r="BG8" i="5"/>
  <c r="BE8" i="5"/>
  <c r="V24" i="5"/>
  <c r="AI15" i="5"/>
  <c r="V42" i="5"/>
  <c r="J26" i="5"/>
  <c r="J12" i="5"/>
  <c r="AG29" i="5"/>
  <c r="J63" i="5"/>
  <c r="AH12" i="5"/>
  <c r="AG50" i="5"/>
  <c r="T32" i="5"/>
  <c r="AH16" i="5"/>
  <c r="T19" i="5"/>
  <c r="AH20" i="5"/>
  <c r="AT24" i="5"/>
  <c r="BE9" i="5"/>
  <c r="BG15" i="5"/>
  <c r="AH24" i="5"/>
  <c r="AI19" i="5"/>
  <c r="BE30" i="5"/>
  <c r="BF30" i="5"/>
  <c r="V44" i="5"/>
  <c r="U37" i="5"/>
  <c r="BR29" i="5"/>
  <c r="AG25" i="5"/>
  <c r="V15" i="5"/>
  <c r="T59" i="5"/>
  <c r="AH46" i="5"/>
  <c r="AH62" i="5"/>
  <c r="BG11" i="5"/>
  <c r="AS35" i="5"/>
  <c r="AT35" i="5"/>
  <c r="J62" i="5"/>
  <c r="U64" i="5"/>
  <c r="AU17" i="5"/>
  <c r="AI18" i="5"/>
  <c r="AU48" i="5"/>
  <c r="AU46" i="5"/>
  <c r="AT46" i="5"/>
  <c r="AS46" i="5"/>
  <c r="AI43" i="5"/>
  <c r="T62" i="5"/>
  <c r="AI56" i="5"/>
  <c r="BS23" i="5"/>
  <c r="AU33" i="5"/>
  <c r="U18" i="5"/>
  <c r="T18" i="5"/>
  <c r="AU25" i="5"/>
  <c r="AT25" i="5"/>
  <c r="BG62" i="5"/>
  <c r="AH39" i="5"/>
  <c r="AG39" i="5"/>
  <c r="AI52" i="5"/>
  <c r="BR64" i="5"/>
  <c r="BQ64" i="5"/>
  <c r="BS64" i="5"/>
  <c r="E9" i="6" s="1" a="1"/>
  <c r="E9" i="6" s="1"/>
  <c r="BQ54" i="5"/>
  <c r="BR54" i="5"/>
  <c r="BS54" i="5"/>
  <c r="BR33" i="5"/>
  <c r="BQ33" i="5"/>
  <c r="AI63" i="5"/>
  <c r="AI5" i="5"/>
  <c r="AL5" i="5"/>
  <c r="T42" i="5"/>
  <c r="AH27" i="5"/>
  <c r="AH28" i="5"/>
  <c r="T6" i="5"/>
  <c r="AH32" i="5"/>
  <c r="AS9" i="5"/>
  <c r="V34" i="5"/>
  <c r="AH36" i="5"/>
  <c r="AI14" i="5"/>
  <c r="AI31" i="5"/>
  <c r="BE25" i="5"/>
  <c r="BR15" i="5"/>
  <c r="BG31" i="5"/>
  <c r="BS26" i="5"/>
  <c r="BF27" i="5"/>
  <c r="BQ25" i="5"/>
  <c r="BS17" i="5"/>
  <c r="AS34" i="5"/>
  <c r="AT34" i="5"/>
  <c r="BR40" i="5"/>
  <c r="BQ40" i="5"/>
  <c r="V52" i="5"/>
  <c r="BG24" i="5"/>
  <c r="BE24" i="5"/>
  <c r="BF24" i="5"/>
  <c r="V25" i="5"/>
  <c r="AG10" i="5"/>
  <c r="BE44" i="5"/>
  <c r="BG44" i="5"/>
  <c r="BF44" i="5"/>
  <c r="AU5" i="5"/>
  <c r="AH35" i="5"/>
  <c r="AI32" i="5"/>
  <c r="J19" i="5"/>
  <c r="AH41" i="5"/>
  <c r="AU22" i="5"/>
  <c r="AT58" i="5"/>
  <c r="AU58" i="5"/>
  <c r="AS58" i="5"/>
  <c r="K63" i="5"/>
  <c r="AI11" i="5"/>
  <c r="AS62" i="5"/>
  <c r="AT62" i="5"/>
  <c r="AU62" i="5"/>
  <c r="AI60" i="5"/>
  <c r="AI51" i="5"/>
  <c r="U22" i="5"/>
  <c r="T22" i="5"/>
  <c r="V22" i="5"/>
  <c r="AT10" i="5"/>
  <c r="AU10" i="5"/>
  <c r="BQ38" i="5"/>
  <c r="BS38" i="5"/>
  <c r="BR38" i="5"/>
  <c r="V62" i="5"/>
  <c r="J48" i="5"/>
  <c r="V40" i="5"/>
  <c r="BG53" i="5"/>
  <c r="BF53" i="5"/>
  <c r="BE53" i="5"/>
  <c r="J58" i="5"/>
  <c r="J11" i="5"/>
  <c r="J44" i="5"/>
  <c r="BF36" i="5"/>
  <c r="BE36" i="5"/>
  <c r="BE37" i="5"/>
  <c r="J64" i="5"/>
  <c r="E4" i="6" s="1" a="1"/>
  <c r="E4" i="6" s="1"/>
  <c r="C4" i="6" a="1"/>
  <c r="C4" i="6" s="1"/>
  <c r="F4" i="6" a="1"/>
  <c r="F4" i="6" s="1"/>
  <c r="D4" i="6" a="1"/>
  <c r="D4" i="6" s="1"/>
  <c r="BF42" i="5"/>
  <c r="BG42" i="5"/>
  <c r="BE42" i="5"/>
  <c r="AS36" i="5"/>
  <c r="AT36" i="5"/>
  <c r="T33" i="5"/>
  <c r="J34" i="5"/>
  <c r="AH43" i="5"/>
  <c r="AH13" i="5"/>
  <c r="AI39" i="5"/>
  <c r="T64" i="5"/>
  <c r="AH48" i="5"/>
  <c r="AS25" i="5"/>
  <c r="AH18" i="5"/>
  <c r="T51" i="5"/>
  <c r="AH52" i="5"/>
  <c r="AG14" i="5"/>
  <c r="AT26" i="5"/>
  <c r="BE16" i="5"/>
  <c r="BF28" i="5"/>
  <c r="BG36" i="5"/>
  <c r="BE46" i="5"/>
  <c r="BG46" i="5"/>
  <c r="BF46" i="5"/>
  <c r="AU7" i="5"/>
  <c r="V11" i="5"/>
  <c r="V10" i="5"/>
  <c r="AS47" i="5"/>
  <c r="AU47" i="5"/>
  <c r="AT47" i="5"/>
  <c r="BE63" i="5"/>
  <c r="BG63" i="5"/>
  <c r="BF63" i="5"/>
  <c r="AG58" i="5"/>
  <c r="BQ8" i="5"/>
  <c r="BS8" i="5"/>
  <c r="V61" i="5"/>
  <c r="AG59" i="5"/>
  <c r="AI26" i="5"/>
  <c r="BF20" i="5"/>
  <c r="V46" i="5"/>
  <c r="BR48" i="5"/>
  <c r="BQ48" i="5"/>
  <c r="BS48" i="5"/>
  <c r="J32" i="5"/>
  <c r="V58" i="5"/>
  <c r="AH55" i="5"/>
  <c r="AG55" i="5"/>
  <c r="J42" i="5"/>
  <c r="BG54" i="5"/>
  <c r="BF54" i="5"/>
  <c r="BE54" i="5"/>
  <c r="BQ29" i="5"/>
  <c r="J60" i="5"/>
  <c r="BG52" i="5"/>
  <c r="BF52" i="5"/>
  <c r="BE52" i="5"/>
  <c r="BQ35" i="5"/>
  <c r="BS35" i="5"/>
  <c r="BR35" i="5"/>
  <c r="BF58" i="5"/>
  <c r="BG58" i="5"/>
  <c r="BE58" i="5"/>
  <c r="AG61" i="5"/>
  <c r="V60" i="5"/>
  <c r="BU5" i="5"/>
  <c r="BV5" i="5" s="1"/>
  <c r="BS5" i="5"/>
  <c r="T24" i="5"/>
  <c r="AH59" i="5"/>
  <c r="AH29" i="5"/>
  <c r="AI55" i="5"/>
  <c r="AH64" i="5"/>
  <c r="AS41" i="5"/>
  <c r="U12" i="5"/>
  <c r="AH34" i="5"/>
  <c r="AG8" i="5"/>
  <c r="U19" i="5"/>
  <c r="BG14" i="5"/>
  <c r="AT14" i="5"/>
  <c r="BR18" i="5"/>
  <c r="AT17" i="5"/>
  <c r="BF29" i="5"/>
  <c r="U53" i="5"/>
  <c r="F6" i="6" a="1"/>
  <c r="F6" i="6" s="1"/>
  <c r="D6" i="6" a="1"/>
  <c r="D6" i="6" s="1"/>
  <c r="C6" i="6" a="1"/>
  <c r="C6" i="6" s="1"/>
  <c r="AI7" i="5"/>
  <c r="BR31" i="5"/>
  <c r="BQ26" i="5"/>
  <c r="BE60" i="5"/>
  <c r="BG60" i="5"/>
  <c r="BF60" i="5"/>
  <c r="U36" i="5"/>
  <c r="BE22" i="5"/>
  <c r="BF22" i="5"/>
  <c r="BG22" i="5"/>
  <c r="AG42" i="5"/>
  <c r="BS16" i="5"/>
  <c r="BR16" i="5"/>
  <c r="BQ16" i="5"/>
  <c r="BS10" i="5"/>
  <c r="BR10" i="5"/>
  <c r="BQ10" i="5"/>
  <c r="U52" i="5"/>
  <c r="T52" i="5"/>
  <c r="AH57" i="5"/>
  <c r="BR20" i="5"/>
  <c r="AI22" i="5"/>
  <c r="AH22" i="5"/>
  <c r="AS51" i="5"/>
  <c r="AT51" i="5"/>
  <c r="AU51" i="5"/>
  <c r="J24" i="5"/>
  <c r="J51" i="5"/>
  <c r="T10" i="5"/>
  <c r="V47" i="5"/>
  <c r="BR57" i="5"/>
  <c r="BQ57" i="5"/>
  <c r="BS57" i="5"/>
  <c r="BS45" i="5"/>
  <c r="BR45" i="5"/>
  <c r="BQ45" i="5"/>
  <c r="BQ31" i="5"/>
  <c r="AT40" i="5"/>
  <c r="AS40" i="5"/>
  <c r="BS51" i="5"/>
  <c r="BR51" i="5"/>
  <c r="BQ51" i="5"/>
  <c r="AI47" i="5"/>
  <c r="V28" i="5"/>
  <c r="AT59" i="5"/>
  <c r="AS59" i="5"/>
  <c r="AU59" i="5"/>
  <c r="T40" i="5"/>
  <c r="V20" i="5"/>
  <c r="AG15" i="5"/>
  <c r="AG16" i="5"/>
  <c r="AH45" i="5"/>
  <c r="V36" i="5"/>
  <c r="U57" i="5"/>
  <c r="AH15" i="5"/>
  <c r="U28" i="5"/>
  <c r="AH19" i="5"/>
  <c r="BS21" i="5"/>
  <c r="AT30" i="5"/>
  <c r="BQ22" i="5"/>
  <c r="AU19" i="5"/>
  <c r="BE18" i="5"/>
  <c r="U21" i="5"/>
  <c r="AI17" i="5"/>
  <c r="AS50" i="5"/>
  <c r="AU50" i="5"/>
  <c r="AT50" i="5"/>
  <c r="BS20" i="5"/>
  <c r="BQ20" i="5"/>
  <c r="BQ11" i="5"/>
  <c r="BR11" i="5"/>
  <c r="BS11" i="5"/>
  <c r="AU57" i="5"/>
  <c r="AT57" i="5"/>
  <c r="BF26" i="5"/>
  <c r="BE26" i="5"/>
  <c r="BG26" i="5"/>
  <c r="AS63" i="5"/>
  <c r="AT63" i="5"/>
  <c r="AU63" i="5"/>
  <c r="AT49" i="5"/>
  <c r="U39" i="5"/>
  <c r="T39" i="5"/>
  <c r="J55" i="5"/>
  <c r="AT54" i="5"/>
  <c r="AU54" i="5"/>
  <c r="AS14" i="5"/>
  <c r="AU14" i="5"/>
  <c r="BR42" i="5"/>
  <c r="BQ42" i="5"/>
  <c r="J52" i="5"/>
  <c r="T30" i="5"/>
  <c r="BR50" i="5"/>
  <c r="BQ50" i="5"/>
  <c r="BS50" i="5"/>
  <c r="T46" i="5"/>
  <c r="V14" i="5"/>
  <c r="BR32" i="5"/>
  <c r="BQ32" i="5"/>
  <c r="J57" i="5"/>
  <c r="BR47" i="5"/>
  <c r="BQ47" i="5"/>
  <c r="BS47" i="5"/>
  <c r="AU56" i="5"/>
  <c r="AT56" i="5"/>
  <c r="AS56" i="5"/>
  <c r="BF39" i="5"/>
  <c r="BE39" i="5"/>
  <c r="V49" i="5"/>
  <c r="T49" i="5"/>
  <c r="U54" i="5"/>
  <c r="T54" i="5"/>
  <c r="BR49" i="5"/>
  <c r="BQ49" i="5"/>
  <c r="BS49" i="5"/>
  <c r="T56" i="5"/>
  <c r="AG31" i="5"/>
  <c r="AH61" i="5"/>
  <c r="T15" i="5"/>
  <c r="AI9" i="5"/>
  <c r="U44" i="5"/>
  <c r="AH10" i="5"/>
  <c r="AG40" i="5"/>
  <c r="AI33" i="5"/>
  <c r="BG25" i="5"/>
  <c r="BG17" i="5"/>
  <c r="AU35" i="5"/>
  <c r="AT18" i="5"/>
  <c r="AT19" i="5"/>
  <c r="AI21" i="5"/>
  <c r="V17" i="5"/>
  <c r="T17" i="5"/>
  <c r="BG20" i="5"/>
  <c r="BE20" i="5"/>
  <c r="BF59" i="5"/>
  <c r="BG59" i="5"/>
  <c r="BE59" i="5"/>
  <c r="BU6" i="5"/>
  <c r="BU7" i="5" s="1"/>
  <c r="BU8" i="5" s="1"/>
  <c r="BU9" i="5" s="1"/>
  <c r="BV9" i="5" s="1"/>
  <c r="BS6" i="5"/>
  <c r="BQ6" i="5"/>
  <c r="BF16" i="5"/>
  <c r="BE11" i="5"/>
  <c r="AS26" i="5"/>
  <c r="BQ13" i="5"/>
  <c r="BQ55" i="5"/>
  <c r="BE47" i="5"/>
  <c r="BG47" i="5"/>
  <c r="BF47" i="5"/>
  <c r="BF57" i="5"/>
  <c r="BG57" i="5"/>
  <c r="BE57" i="5"/>
  <c r="BQ56" i="5"/>
  <c r="BR56" i="5"/>
  <c r="BS56" i="5"/>
  <c r="AI37" i="5"/>
  <c r="AH37" i="5"/>
  <c r="BS61" i="5"/>
  <c r="BR61" i="5"/>
  <c r="BQ61" i="5"/>
  <c r="AI53" i="5"/>
  <c r="AH53" i="5"/>
  <c r="J40" i="5"/>
  <c r="BQ28" i="5"/>
  <c r="BE33" i="5"/>
  <c r="BF33" i="5"/>
  <c r="BS30" i="5"/>
  <c r="BR30" i="5"/>
  <c r="BQ30" i="5"/>
  <c r="BT41" i="5" s="1"/>
  <c r="BR63" i="5"/>
  <c r="BQ63" i="5"/>
  <c r="BS63" i="5"/>
  <c r="BG55" i="5"/>
  <c r="BF55" i="5"/>
  <c r="BE55" i="5"/>
  <c r="AS27" i="5"/>
  <c r="AT27" i="5"/>
  <c r="AU45" i="5"/>
  <c r="AT45" i="5"/>
  <c r="AS45" i="5"/>
  <c r="J47" i="5"/>
  <c r="T9" i="5"/>
  <c r="AH42" i="5"/>
  <c r="AG47" i="5"/>
  <c r="AG48" i="5"/>
  <c r="AJ56" i="5" s="1"/>
  <c r="AG17" i="5"/>
  <c r="AS22" i="5"/>
  <c r="T31" i="5"/>
  <c r="AH47" i="5"/>
  <c r="AG52" i="5"/>
  <c r="AI25" i="5"/>
  <c r="AG22" i="5"/>
  <c r="AJ36" i="5" s="1"/>
  <c r="AG56" i="5"/>
  <c r="K59" i="5"/>
  <c r="AI34" i="5"/>
  <c r="AH21" i="5"/>
  <c r="BG41" i="5"/>
  <c r="BR13" i="5"/>
  <c r="BG33" i="5"/>
  <c r="AU20" i="5"/>
  <c r="AT20" i="5"/>
  <c r="BS31" i="5"/>
  <c r="BG6" i="5"/>
  <c r="BE6" i="5"/>
  <c r="AS11" i="5"/>
  <c r="AT11" i="5"/>
  <c r="AU11" i="5"/>
  <c r="BF13" i="5"/>
  <c r="BG13" i="5"/>
  <c r="BQ41" i="5"/>
  <c r="AT32" i="5"/>
  <c r="U55" i="5"/>
  <c r="V55" i="5"/>
  <c r="T55" i="5"/>
  <c r="T60" i="5"/>
  <c r="BS58" i="5"/>
  <c r="BQ58" i="5"/>
  <c r="BR58" i="5"/>
  <c r="AI50" i="5"/>
  <c r="AI24" i="5"/>
  <c r="U29" i="5"/>
  <c r="V8" i="5"/>
  <c r="J50" i="5"/>
  <c r="BG19" i="5"/>
  <c r="BF19" i="5"/>
  <c r="BE19" i="5"/>
  <c r="AU15" i="5"/>
  <c r="V41" i="5"/>
  <c r="BS46" i="5"/>
  <c r="BR46" i="5"/>
  <c r="BQ46" i="5"/>
  <c r="BF40" i="5"/>
  <c r="BE40" i="5"/>
  <c r="BR34" i="5"/>
  <c r="BQ34" i="5"/>
  <c r="AT60" i="5"/>
  <c r="AU60" i="5"/>
  <c r="AS60" i="5"/>
  <c r="T25" i="5"/>
  <c r="AH58" i="5"/>
  <c r="AG33" i="5"/>
  <c r="AS38" i="5"/>
  <c r="T47" i="5"/>
  <c r="AH63" i="5"/>
  <c r="AI41" i="5"/>
  <c r="AG38" i="5"/>
  <c r="V21" i="5"/>
  <c r="BS32" i="5"/>
  <c r="BS33" i="5"/>
  <c r="AU26" i="5"/>
  <c r="BQ17" i="5"/>
  <c r="AT13" i="5"/>
  <c r="BS25" i="5"/>
  <c r="BE15" i="5"/>
  <c r="AU21" i="5"/>
  <c r="BG21" i="5"/>
  <c r="BE21" i="5"/>
  <c r="BF21" i="5"/>
  <c r="AG45" i="5"/>
  <c r="F5" i="6" a="1"/>
  <c r="F5" i="6" s="1"/>
  <c r="E5" i="6" a="1"/>
  <c r="E5" i="6" s="1"/>
  <c r="D5" i="6" a="1"/>
  <c r="D5" i="6" s="1"/>
  <c r="C5" i="6" a="1"/>
  <c r="C5" i="6" s="1"/>
  <c r="AI20" i="5"/>
  <c r="BG38" i="5"/>
  <c r="AW6" i="5"/>
  <c r="AU6" i="5"/>
  <c r="AS13" i="5"/>
  <c r="AH51" i="5"/>
  <c r="BG18" i="5"/>
  <c r="BF18" i="5"/>
  <c r="AI28" i="5"/>
  <c r="BR24" i="5"/>
  <c r="BS19" i="5"/>
  <c r="V45" i="5"/>
  <c r="BG16" i="5"/>
  <c r="BR44" i="5"/>
  <c r="BQ44" i="5"/>
  <c r="BS44" i="5"/>
  <c r="BF35" i="5"/>
  <c r="BE35" i="5"/>
  <c r="BQ27" i="5"/>
  <c r="BR27" i="5"/>
  <c r="BI5" i="5"/>
  <c r="BI6" i="5" s="1"/>
  <c r="BI7" i="5" s="1"/>
  <c r="BG5" i="5"/>
  <c r="BG56" i="5"/>
  <c r="BF56" i="5"/>
  <c r="BE56" i="5"/>
  <c r="T41" i="5"/>
  <c r="V43" i="5"/>
  <c r="X5" i="5"/>
  <c r="X6" i="5" s="1"/>
  <c r="X7" i="5" s="1"/>
  <c r="X8" i="5" s="1"/>
  <c r="AS54" i="5"/>
  <c r="T63" i="5"/>
  <c r="AG19" i="5"/>
  <c r="K57" i="5"/>
  <c r="U27" i="5"/>
  <c r="AI57" i="5"/>
  <c r="AG54" i="5"/>
  <c r="V37" i="5"/>
  <c r="AI29" i="5"/>
  <c r="BG40" i="5"/>
  <c r="BG28" i="5"/>
  <c r="AT29" i="5"/>
  <c r="AU18" i="5"/>
  <c r="AS8" i="5"/>
  <c r="D9" i="6" a="1"/>
  <c r="D9" i="6" s="1"/>
  <c r="C9" i="6" a="1"/>
  <c r="C9" i="6" s="1"/>
  <c r="F9" i="6" a="1"/>
  <c r="F9" i="6" s="1"/>
  <c r="AS33" i="5"/>
  <c r="AT33" i="5"/>
  <c r="U20" i="5"/>
  <c r="T20" i="5"/>
  <c r="AU23" i="5"/>
  <c r="AG6" i="5"/>
  <c r="AK6" i="5"/>
  <c r="BE43" i="5"/>
  <c r="BG43" i="5"/>
  <c r="BF43" i="5"/>
  <c r="BS9" i="5"/>
  <c r="V26" i="5"/>
  <c r="AG13" i="5"/>
  <c r="BR39" i="5"/>
  <c r="AT31" i="5"/>
  <c r="AT52" i="5"/>
  <c r="BS62" i="5"/>
  <c r="BR62" i="5"/>
  <c r="BQ62" i="5"/>
  <c r="AG60" i="5"/>
  <c r="U50" i="5"/>
  <c r="T50" i="5"/>
  <c r="AT43" i="5"/>
  <c r="AU43" i="5"/>
  <c r="AS43" i="5"/>
  <c r="J20" i="5"/>
  <c r="BR43" i="5"/>
  <c r="BQ43" i="5"/>
  <c r="BS43" i="5"/>
  <c r="AS37" i="5"/>
  <c r="AT37" i="5"/>
  <c r="AT39" i="5"/>
  <c r="AS39" i="5"/>
  <c r="BQ37" i="5"/>
  <c r="BR37" i="5"/>
  <c r="AS28" i="5"/>
  <c r="AT28" i="5"/>
  <c r="U34" i="5"/>
  <c r="T34" i="5"/>
  <c r="U38" i="5"/>
  <c r="T38" i="5"/>
  <c r="W55" i="5" s="1"/>
  <c r="T57" i="5"/>
  <c r="W60" i="5" s="1"/>
  <c r="T12" i="5"/>
  <c r="W26" i="5" s="1"/>
  <c r="U24" i="5"/>
  <c r="AI6" i="5"/>
  <c r="U43" i="5"/>
  <c r="AH17" i="5"/>
  <c r="AI45" i="5"/>
  <c r="AT23" i="5"/>
  <c r="AI35" i="5"/>
  <c r="BR17" i="5"/>
  <c r="AU34" i="5"/>
  <c r="V33" i="5"/>
  <c r="AS30" i="5"/>
  <c r="AU30" i="5"/>
  <c r="AH23" i="5"/>
  <c r="F8" i="6" a="1"/>
  <c r="F8" i="6" s="1"/>
  <c r="D8" i="6" a="1"/>
  <c r="D8" i="6" s="1"/>
  <c r="C8" i="6" a="1"/>
  <c r="C8" i="6" s="1"/>
  <c r="BG9" i="5"/>
  <c r="BQ12" i="5"/>
  <c r="V13" i="5"/>
  <c r="BQ39" i="5"/>
  <c r="AS31" i="5"/>
  <c r="AV34" i="5" s="1"/>
  <c r="AS52" i="5"/>
  <c r="V12" i="5"/>
  <c r="BR36" i="5"/>
  <c r="BQ36" i="5"/>
  <c r="AI40" i="5"/>
  <c r="U14" i="5"/>
  <c r="V30" i="5"/>
  <c r="BG49" i="5"/>
  <c r="BF49" i="5"/>
  <c r="BE49" i="5"/>
  <c r="AG44" i="5"/>
  <c r="AI48" i="5"/>
  <c r="BS60" i="5"/>
  <c r="BR60" i="5"/>
  <c r="BQ60" i="5"/>
  <c r="BG51" i="5"/>
  <c r="BF51" i="5"/>
  <c r="BE51" i="5"/>
  <c r="AI64" i="5"/>
  <c r="E6" i="6" s="1" a="1"/>
  <c r="E6" i="6" s="1"/>
  <c r="BF32" i="5"/>
  <c r="BE32" i="5"/>
  <c r="BH46" i="5" s="1"/>
  <c r="BF34" i="5"/>
  <c r="BE34" i="5"/>
  <c r="BQ59" i="5"/>
  <c r="BS59" i="5"/>
  <c r="BR59" i="5"/>
  <c r="BE48" i="5"/>
  <c r="BG48" i="5"/>
  <c r="BF48" i="5"/>
  <c r="AS53" i="5"/>
  <c r="AT53" i="5"/>
  <c r="AU53" i="5"/>
  <c r="BE50" i="5"/>
  <c r="BG50" i="5"/>
  <c r="BF50" i="5"/>
  <c r="AT55" i="5"/>
  <c r="AU55" i="5"/>
  <c r="AS55" i="5"/>
  <c r="V48" i="5"/>
  <c r="BQ53" i="5"/>
  <c r="BR53" i="5"/>
  <c r="BS53" i="5"/>
  <c r="AI49" i="5"/>
  <c r="AG62" i="5"/>
  <c r="AI62" i="5"/>
  <c r="V63" i="5"/>
  <c r="J49" i="5"/>
  <c r="T28" i="5"/>
  <c r="T29" i="5"/>
  <c r="U40" i="5"/>
  <c r="AG51" i="5"/>
  <c r="U59" i="5"/>
  <c r="U46" i="5"/>
  <c r="AI27" i="5"/>
  <c r="AI61" i="5"/>
  <c r="BG39" i="5"/>
  <c r="AU41" i="5"/>
  <c r="BS36" i="5"/>
  <c r="AU29" i="5"/>
  <c r="AI38" i="5"/>
  <c r="BQ21" i="5"/>
  <c r="BS14" i="5"/>
  <c r="BR14" i="5"/>
  <c r="AU16" i="5"/>
  <c r="AT16" i="5"/>
  <c r="U23" i="5"/>
  <c r="AS64" i="5"/>
  <c r="C7" i="6" s="1" a="1"/>
  <c r="C7" i="6" s="1"/>
  <c r="AU64" i="5"/>
  <c r="E7" i="6" s="1" a="1"/>
  <c r="E7" i="6" s="1"/>
  <c r="AT64" i="5"/>
  <c r="D7" i="6" s="1" a="1"/>
  <c r="D7" i="6" s="1"/>
  <c r="AU9" i="5"/>
  <c r="AT42" i="5"/>
  <c r="AS42" i="5"/>
  <c r="BG12" i="5"/>
  <c r="U35" i="5"/>
  <c r="BF38" i="5"/>
  <c r="BU10" i="5"/>
  <c r="K41" i="5"/>
  <c r="K43" i="5"/>
  <c r="AV26" i="5"/>
  <c r="AV25" i="5"/>
  <c r="AJ38" i="5"/>
  <c r="BH26" i="5"/>
  <c r="BH28" i="5"/>
  <c r="BV7" i="5"/>
  <c r="BV8" i="5"/>
  <c r="BJ6" i="5"/>
  <c r="AV28" i="5"/>
  <c r="K29" i="5"/>
  <c r="K45" i="5"/>
  <c r="BH31" i="5"/>
  <c r="BH30" i="5"/>
  <c r="AL6" i="5"/>
  <c r="AK7" i="5"/>
  <c r="K32" i="5"/>
  <c r="J14" i="5"/>
  <c r="J21" i="5"/>
  <c r="J46" i="5"/>
  <c r="J53" i="5"/>
  <c r="J33" i="5"/>
  <c r="AJ37" i="5"/>
  <c r="J6" i="5"/>
  <c r="K53" i="5"/>
  <c r="K25" i="5"/>
  <c r="K27" i="5"/>
  <c r="K38" i="5"/>
  <c r="AJ39" i="5"/>
  <c r="AJ40" i="5"/>
  <c r="AJ41" i="5"/>
  <c r="K64" i="5"/>
  <c r="G4" i="6" s="1" a="1"/>
  <c r="G4" i="6" s="1"/>
  <c r="K54" i="5"/>
  <c r="K58" i="5"/>
  <c r="K35" i="5"/>
  <c r="J23" i="5"/>
  <c r="J27" i="5"/>
  <c r="J54" i="5"/>
  <c r="J39" i="5"/>
  <c r="J8" i="5"/>
  <c r="J16" i="5"/>
  <c r="J7" i="5"/>
  <c r="J59" i="5"/>
  <c r="K28" i="5"/>
  <c r="K51" i="5"/>
  <c r="K44" i="5"/>
  <c r="K26" i="5"/>
  <c r="J56" i="5"/>
  <c r="J28" i="5"/>
  <c r="AJ34" i="5"/>
  <c r="K60" i="5"/>
  <c r="AJ43" i="5"/>
  <c r="AJ42" i="5"/>
  <c r="K31" i="5"/>
  <c r="K36" i="5"/>
  <c r="K37" i="5"/>
  <c r="J45" i="5"/>
  <c r="K40" i="5"/>
  <c r="K52" i="5"/>
  <c r="AJ29" i="5"/>
  <c r="J41" i="5"/>
  <c r="J43" i="5"/>
  <c r="K30" i="5"/>
  <c r="K56" i="5"/>
  <c r="K39" i="5"/>
  <c r="K46" i="5"/>
  <c r="K42" i="5"/>
  <c r="K55" i="5"/>
  <c r="K62" i="5"/>
  <c r="K48" i="5"/>
  <c r="AJ28" i="5"/>
  <c r="J15" i="5"/>
  <c r="J22" i="5"/>
  <c r="J10" i="5"/>
  <c r="J17" i="5"/>
  <c r="J38" i="5"/>
  <c r="J25" i="5"/>
  <c r="J18" i="5"/>
  <c r="W50" i="5"/>
  <c r="J9" i="5"/>
  <c r="K47" i="5"/>
  <c r="K61" i="5"/>
  <c r="J36" i="5"/>
  <c r="J31" i="5"/>
  <c r="AJ35" i="5"/>
  <c r="K33" i="5"/>
  <c r="K34" i="5"/>
  <c r="K49" i="5"/>
  <c r="L7" i="5"/>
  <c r="M6" i="5"/>
  <c r="AJ32" i="5" l="1"/>
  <c r="W30" i="5"/>
  <c r="W61" i="5"/>
  <c r="BH37" i="5"/>
  <c r="AV40" i="5"/>
  <c r="BH36" i="5"/>
  <c r="BH33" i="5"/>
  <c r="W43" i="5"/>
  <c r="AJ52" i="5"/>
  <c r="BH39" i="5"/>
  <c r="BH42" i="5"/>
  <c r="W31" i="5"/>
  <c r="AV32" i="5"/>
  <c r="BH35" i="5"/>
  <c r="BH32" i="5"/>
  <c r="BT39" i="5"/>
  <c r="AV27" i="5"/>
  <c r="AJ54" i="5"/>
  <c r="AJ55" i="5"/>
  <c r="BT26" i="5"/>
  <c r="AJ27" i="5"/>
  <c r="W54" i="5"/>
  <c r="AJ63" i="5"/>
  <c r="AV41" i="5"/>
  <c r="BH40" i="5"/>
  <c r="BT32" i="5"/>
  <c r="W62" i="5"/>
  <c r="W40" i="5"/>
  <c r="BH64" i="5"/>
  <c r="G8" i="6" s="1" a="1"/>
  <c r="G8" i="6" s="1"/>
  <c r="BH25" i="5"/>
  <c r="AV31" i="5"/>
  <c r="AV30" i="5"/>
  <c r="BT34" i="5"/>
  <c r="W46" i="5"/>
  <c r="W29" i="5"/>
  <c r="W51" i="5"/>
  <c r="W53" i="5"/>
  <c r="BJ5" i="5"/>
  <c r="BH57" i="5"/>
  <c r="W49" i="5"/>
  <c r="BH41" i="5"/>
  <c r="BT40" i="5"/>
  <c r="AJ53" i="5"/>
  <c r="W28" i="5"/>
  <c r="BT28" i="5"/>
  <c r="W38" i="5"/>
  <c r="W34" i="5"/>
  <c r="BT36" i="5"/>
  <c r="W48" i="5"/>
  <c r="BT42" i="5"/>
  <c r="AV35" i="5"/>
  <c r="AJ51" i="5"/>
  <c r="W47" i="5"/>
  <c r="W45" i="5"/>
  <c r="W32" i="5"/>
  <c r="AV33" i="5"/>
  <c r="AV51" i="5"/>
  <c r="AJ49" i="5"/>
  <c r="W33" i="5"/>
  <c r="W27" i="5"/>
  <c r="AJ64" i="5"/>
  <c r="G6" i="6" s="1" a="1"/>
  <c r="G6" i="6" s="1"/>
  <c r="AJ33" i="5"/>
  <c r="BT43" i="5"/>
  <c r="AV62" i="5"/>
  <c r="AV54" i="5"/>
  <c r="BH51" i="5"/>
  <c r="AV49" i="5"/>
  <c r="BT52" i="5"/>
  <c r="BT49" i="5"/>
  <c r="BT61" i="5"/>
  <c r="AV57" i="5"/>
  <c r="BT60" i="5"/>
  <c r="BH52" i="5"/>
  <c r="AV59" i="5"/>
  <c r="AV55" i="5"/>
  <c r="BH63" i="5"/>
  <c r="BH60" i="5"/>
  <c r="AV56" i="5"/>
  <c r="Y5" i="5"/>
  <c r="W59" i="5"/>
  <c r="W52" i="5"/>
  <c r="AJ58" i="5"/>
  <c r="W36" i="5"/>
  <c r="AJ59" i="5"/>
  <c r="W35" i="5"/>
  <c r="BH29" i="5"/>
  <c r="W25" i="5"/>
  <c r="W37" i="5"/>
  <c r="BH38" i="5"/>
  <c r="BT37" i="5"/>
  <c r="AV36" i="5"/>
  <c r="BH62" i="5"/>
  <c r="AJ30" i="5"/>
  <c r="W42" i="5"/>
  <c r="AJ60" i="5"/>
  <c r="W64" i="5"/>
  <c r="G5" i="6" s="1" a="1"/>
  <c r="G5" i="6" s="1"/>
  <c r="AJ45" i="5"/>
  <c r="W58" i="5"/>
  <c r="BH43" i="5"/>
  <c r="AJ25" i="5"/>
  <c r="BT55" i="5"/>
  <c r="AJ31" i="5"/>
  <c r="W56" i="5"/>
  <c r="AV38" i="5"/>
  <c r="BH34" i="5"/>
  <c r="BJ7" i="5"/>
  <c r="BI8" i="5"/>
  <c r="AV64" i="5"/>
  <c r="G7" i="6" s="1" a="1"/>
  <c r="G7" i="6" s="1"/>
  <c r="BT47" i="5"/>
  <c r="AJ47" i="5"/>
  <c r="BH61" i="5"/>
  <c r="BH44" i="5"/>
  <c r="AJ50" i="5"/>
  <c r="BT27" i="5"/>
  <c r="AV61" i="5"/>
  <c r="W41" i="5"/>
  <c r="AV43" i="5"/>
  <c r="BT30" i="5"/>
  <c r="W39" i="5"/>
  <c r="BT50" i="5"/>
  <c r="AV63" i="5"/>
  <c r="AV48" i="5"/>
  <c r="BT25" i="5"/>
  <c r="BT33" i="5"/>
  <c r="AV37" i="5"/>
  <c r="AJ26" i="5"/>
  <c r="AV39" i="5"/>
  <c r="AJ61" i="5"/>
  <c r="AV29" i="5"/>
  <c r="BT31" i="5"/>
  <c r="BT29" i="5"/>
  <c r="AV47" i="5"/>
  <c r="BT51" i="5"/>
  <c r="BT64" i="5"/>
  <c r="G9" i="6" s="1" a="1"/>
  <c r="G9" i="6" s="1"/>
  <c r="BH50" i="5"/>
  <c r="AV50" i="5"/>
  <c r="AJ46" i="5"/>
  <c r="W44" i="5"/>
  <c r="Y7" i="5"/>
  <c r="BT46" i="5"/>
  <c r="AJ44" i="5"/>
  <c r="BT38" i="5"/>
  <c r="AV42" i="5"/>
  <c r="BT58" i="5"/>
  <c r="BT56" i="5"/>
  <c r="BH54" i="5"/>
  <c r="AX6" i="5"/>
  <c r="AW7" i="5"/>
  <c r="BT35" i="5"/>
  <c r="AV46" i="5"/>
  <c r="AV45" i="5"/>
  <c r="BT45" i="5"/>
  <c r="AJ48" i="5"/>
  <c r="AJ57" i="5"/>
  <c r="AV58" i="5"/>
  <c r="AV52" i="5"/>
  <c r="BT53" i="5"/>
  <c r="W57" i="5"/>
  <c r="AV44" i="5"/>
  <c r="BT57" i="5"/>
  <c r="BT59" i="5"/>
  <c r="BH48" i="5"/>
  <c r="BT63" i="5"/>
  <c r="BH59" i="5"/>
  <c r="AV60" i="5"/>
  <c r="BT54" i="5"/>
  <c r="BH56" i="5"/>
  <c r="BH49" i="5"/>
  <c r="BH58" i="5"/>
  <c r="BH45" i="5"/>
  <c r="BH47" i="5"/>
  <c r="BH55" i="5"/>
  <c r="AV53" i="5"/>
  <c r="W63" i="5"/>
  <c r="BT62" i="5"/>
  <c r="BV6" i="5"/>
  <c r="BT44" i="5"/>
  <c r="Y6" i="5"/>
  <c r="BH53" i="5"/>
  <c r="AJ62" i="5"/>
  <c r="BT48" i="5"/>
  <c r="BH27" i="5"/>
  <c r="BU11" i="5"/>
  <c r="BV10" i="5"/>
  <c r="AK8" i="5"/>
  <c r="AL7" i="5"/>
  <c r="X9" i="5"/>
  <c r="Y8" i="5"/>
  <c r="L8" i="5"/>
  <c r="M7" i="5"/>
  <c r="BI9" i="5" l="1"/>
  <c r="BJ8" i="5"/>
  <c r="AW8" i="5"/>
  <c r="AX7" i="5"/>
  <c r="BU12" i="5"/>
  <c r="BV11" i="5"/>
  <c r="X10" i="5"/>
  <c r="Y9" i="5"/>
  <c r="AK9" i="5"/>
  <c r="AL8" i="5"/>
  <c r="L9" i="5"/>
  <c r="M8" i="5"/>
  <c r="AW9" i="5" l="1"/>
  <c r="AX8" i="5"/>
  <c r="BI10" i="5"/>
  <c r="BJ9" i="5"/>
  <c r="BU13" i="5"/>
  <c r="BV12" i="5"/>
  <c r="AK10" i="5"/>
  <c r="AL9" i="5"/>
  <c r="X11" i="5"/>
  <c r="Y10" i="5"/>
  <c r="L10" i="5"/>
  <c r="M9" i="5"/>
  <c r="BI11" i="5" l="1"/>
  <c r="BJ10" i="5"/>
  <c r="AW10" i="5"/>
  <c r="AX9" i="5"/>
  <c r="BU14" i="5"/>
  <c r="BV13" i="5"/>
  <c r="X12" i="5"/>
  <c r="Y11" i="5"/>
  <c r="AK11" i="5"/>
  <c r="AL10" i="5"/>
  <c r="L11" i="5"/>
  <c r="M10" i="5"/>
  <c r="AW11" i="5" l="1"/>
  <c r="AX10" i="5"/>
  <c r="BI12" i="5"/>
  <c r="BJ11" i="5"/>
  <c r="BU15" i="5"/>
  <c r="BV14" i="5"/>
  <c r="AK12" i="5"/>
  <c r="AL11" i="5"/>
  <c r="X13" i="5"/>
  <c r="Y12" i="5"/>
  <c r="L12" i="5"/>
  <c r="M11" i="5"/>
  <c r="BI13" i="5" l="1"/>
  <c r="BJ12" i="5"/>
  <c r="AW12" i="5"/>
  <c r="AX11" i="5"/>
  <c r="BU16" i="5"/>
  <c r="BV15" i="5"/>
  <c r="X14" i="5"/>
  <c r="Y13" i="5"/>
  <c r="AK13" i="5"/>
  <c r="AL12" i="5"/>
  <c r="L13" i="5"/>
  <c r="M12" i="5"/>
  <c r="AW13" i="5" l="1"/>
  <c r="AX12" i="5"/>
  <c r="BI14" i="5"/>
  <c r="BJ13" i="5"/>
  <c r="BU17" i="5"/>
  <c r="BV16" i="5"/>
  <c r="AK14" i="5"/>
  <c r="AL13" i="5"/>
  <c r="X15" i="5"/>
  <c r="Y14" i="5"/>
  <c r="L14" i="5"/>
  <c r="M13" i="5"/>
  <c r="BI15" i="5" l="1"/>
  <c r="BJ14" i="5"/>
  <c r="AW14" i="5"/>
  <c r="AX13" i="5"/>
  <c r="BU18" i="5"/>
  <c r="BV17" i="5"/>
  <c r="X16" i="5"/>
  <c r="Y15" i="5"/>
  <c r="AK15" i="5"/>
  <c r="AL14" i="5"/>
  <c r="L15" i="5"/>
  <c r="M14" i="5"/>
  <c r="AW15" i="5" l="1"/>
  <c r="AX14" i="5"/>
  <c r="BI16" i="5"/>
  <c r="BJ15" i="5"/>
  <c r="BU19" i="5"/>
  <c r="BV18" i="5"/>
  <c r="AK16" i="5"/>
  <c r="AL15" i="5"/>
  <c r="X17" i="5"/>
  <c r="Y16" i="5"/>
  <c r="L16" i="5"/>
  <c r="M15" i="5"/>
  <c r="BI17" i="5" l="1"/>
  <c r="BJ16" i="5"/>
  <c r="AW16" i="5"/>
  <c r="AX15" i="5"/>
  <c r="BU20" i="5"/>
  <c r="BV19" i="5"/>
  <c r="X18" i="5"/>
  <c r="Y17" i="5"/>
  <c r="AK17" i="5"/>
  <c r="AL16" i="5"/>
  <c r="L17" i="5"/>
  <c r="M16" i="5"/>
  <c r="AW17" i="5" l="1"/>
  <c r="AX16" i="5"/>
  <c r="BI18" i="5"/>
  <c r="BJ17" i="5"/>
  <c r="BU21" i="5"/>
  <c r="BV20" i="5"/>
  <c r="AK18" i="5"/>
  <c r="AL17" i="5"/>
  <c r="X19" i="5"/>
  <c r="Y18" i="5"/>
  <c r="L18" i="5"/>
  <c r="M17" i="5"/>
  <c r="BI19" i="5" l="1"/>
  <c r="BJ18" i="5"/>
  <c r="AX17" i="5"/>
  <c r="AW18" i="5"/>
  <c r="BU22" i="5"/>
  <c r="BV21" i="5"/>
  <c r="X20" i="5"/>
  <c r="Y19" i="5"/>
  <c r="AK19" i="5"/>
  <c r="AL18" i="5"/>
  <c r="L19" i="5"/>
  <c r="M18" i="5"/>
  <c r="AW19" i="5" l="1"/>
  <c r="AX18" i="5"/>
  <c r="BI20" i="5"/>
  <c r="BJ19" i="5"/>
  <c r="BU23" i="5"/>
  <c r="BV22" i="5"/>
  <c r="AK20" i="5"/>
  <c r="AL19" i="5"/>
  <c r="X21" i="5"/>
  <c r="Y20" i="5"/>
  <c r="L20" i="5"/>
  <c r="M19" i="5"/>
  <c r="BI21" i="5" l="1"/>
  <c r="BJ20" i="5"/>
  <c r="AW20" i="5"/>
  <c r="AX19" i="5"/>
  <c r="BU24" i="5"/>
  <c r="BV23" i="5"/>
  <c r="X22" i="5"/>
  <c r="Y21" i="5"/>
  <c r="AK21" i="5"/>
  <c r="AL20" i="5"/>
  <c r="L21" i="5"/>
  <c r="M20" i="5"/>
  <c r="AX20" i="5" l="1"/>
  <c r="AW21" i="5"/>
  <c r="BI22" i="5"/>
  <c r="BJ21" i="5"/>
  <c r="BU25" i="5"/>
  <c r="BV24" i="5"/>
  <c r="AK22" i="5"/>
  <c r="AL21" i="5"/>
  <c r="X23" i="5"/>
  <c r="Y22" i="5"/>
  <c r="L22" i="5"/>
  <c r="M21" i="5"/>
  <c r="BI23" i="5" l="1"/>
  <c r="BJ22" i="5"/>
  <c r="AX21" i="5"/>
  <c r="AW22" i="5"/>
  <c r="BU26" i="5"/>
  <c r="BV25" i="5"/>
  <c r="X24" i="5"/>
  <c r="Y23" i="5"/>
  <c r="AK23" i="5"/>
  <c r="AL22" i="5"/>
  <c r="L23" i="5"/>
  <c r="M22" i="5"/>
  <c r="AW23" i="5" l="1"/>
  <c r="AX22" i="5"/>
  <c r="BI24" i="5"/>
  <c r="BJ23" i="5"/>
  <c r="BU27" i="5"/>
  <c r="BV26" i="5"/>
  <c r="AK24" i="5"/>
  <c r="AL23" i="5"/>
  <c r="X25" i="5"/>
  <c r="Y24" i="5"/>
  <c r="L24" i="5"/>
  <c r="M23" i="5"/>
  <c r="BI25" i="5" l="1"/>
  <c r="BJ24" i="5"/>
  <c r="AW24" i="5"/>
  <c r="AX23" i="5"/>
  <c r="BU28" i="5"/>
  <c r="BV27" i="5"/>
  <c r="X26" i="5"/>
  <c r="Y25" i="5"/>
  <c r="AK25" i="5"/>
  <c r="AL24" i="5"/>
  <c r="L25" i="5"/>
  <c r="M24" i="5"/>
  <c r="AX24" i="5" l="1"/>
  <c r="AW25" i="5"/>
  <c r="BI26" i="5"/>
  <c r="BJ25" i="5"/>
  <c r="BU29" i="5"/>
  <c r="BV28" i="5"/>
  <c r="AK26" i="5"/>
  <c r="AL25" i="5"/>
  <c r="X27" i="5"/>
  <c r="Y26" i="5"/>
  <c r="L26" i="5"/>
  <c r="M25" i="5"/>
  <c r="AX25" i="5" l="1"/>
  <c r="AW26" i="5"/>
  <c r="BI27" i="5"/>
  <c r="BJ26" i="5"/>
  <c r="BU30" i="5"/>
  <c r="BV29" i="5"/>
  <c r="X28" i="5"/>
  <c r="Y27" i="5"/>
  <c r="AK27" i="5"/>
  <c r="AL26" i="5"/>
  <c r="L27" i="5"/>
  <c r="M26" i="5"/>
  <c r="BI28" i="5" l="1"/>
  <c r="BJ27" i="5"/>
  <c r="AW27" i="5"/>
  <c r="AX26" i="5"/>
  <c r="BU31" i="5"/>
  <c r="BV30" i="5"/>
  <c r="AK28" i="5"/>
  <c r="AL27" i="5"/>
  <c r="X29" i="5"/>
  <c r="Y28" i="5"/>
  <c r="L28" i="5"/>
  <c r="M27" i="5"/>
  <c r="AW28" i="5" l="1"/>
  <c r="AX27" i="5"/>
  <c r="BI29" i="5"/>
  <c r="BJ28" i="5"/>
  <c r="BU32" i="5"/>
  <c r="BV31" i="5"/>
  <c r="X30" i="5"/>
  <c r="Y29" i="5"/>
  <c r="AK29" i="5"/>
  <c r="AL28" i="5"/>
  <c r="L29" i="5"/>
  <c r="M28" i="5"/>
  <c r="BI30" i="5" l="1"/>
  <c r="BJ29" i="5"/>
  <c r="AW29" i="5"/>
  <c r="AX28" i="5"/>
  <c r="BU33" i="5"/>
  <c r="BV32" i="5"/>
  <c r="AK30" i="5"/>
  <c r="AL29" i="5"/>
  <c r="X31" i="5"/>
  <c r="Y30" i="5"/>
  <c r="L30" i="5"/>
  <c r="M29" i="5"/>
  <c r="AX29" i="5" l="1"/>
  <c r="AW30" i="5"/>
  <c r="BI31" i="5"/>
  <c r="BJ30" i="5"/>
  <c r="BU34" i="5"/>
  <c r="BV33" i="5"/>
  <c r="X32" i="5"/>
  <c r="Y31" i="5"/>
  <c r="AK31" i="5"/>
  <c r="AL30" i="5"/>
  <c r="L31" i="5"/>
  <c r="M30" i="5"/>
  <c r="BI32" i="5" l="1"/>
  <c r="BJ31" i="5"/>
  <c r="AW31" i="5"/>
  <c r="AX30" i="5"/>
  <c r="BU35" i="5"/>
  <c r="BV34" i="5"/>
  <c r="AK32" i="5"/>
  <c r="AL31" i="5"/>
  <c r="X33" i="5"/>
  <c r="Y32" i="5"/>
  <c r="L32" i="5"/>
  <c r="M31" i="5"/>
  <c r="AW32" i="5" l="1"/>
  <c r="AX31" i="5"/>
  <c r="BI33" i="5"/>
  <c r="BJ32" i="5"/>
  <c r="BU36" i="5"/>
  <c r="BV35" i="5"/>
  <c r="X34" i="5"/>
  <c r="Y33" i="5"/>
  <c r="AK33" i="5"/>
  <c r="AL32" i="5"/>
  <c r="L33" i="5"/>
  <c r="M32" i="5"/>
  <c r="BI34" i="5" l="1"/>
  <c r="BJ33" i="5"/>
  <c r="AW33" i="5"/>
  <c r="AX32" i="5"/>
  <c r="BU37" i="5"/>
  <c r="BV36" i="5"/>
  <c r="AK34" i="5"/>
  <c r="AL33" i="5"/>
  <c r="X35" i="5"/>
  <c r="Y34" i="5"/>
  <c r="L34" i="5"/>
  <c r="M33" i="5"/>
  <c r="AX33" i="5" l="1"/>
  <c r="AW34" i="5"/>
  <c r="BI35" i="5"/>
  <c r="BJ34" i="5"/>
  <c r="BU38" i="5"/>
  <c r="BV37" i="5"/>
  <c r="X36" i="5"/>
  <c r="Y35" i="5"/>
  <c r="AK35" i="5"/>
  <c r="AL34" i="5"/>
  <c r="L35" i="5"/>
  <c r="M34" i="5"/>
  <c r="AW35" i="5" l="1"/>
  <c r="AX34" i="5"/>
  <c r="BI36" i="5"/>
  <c r="BJ35" i="5"/>
  <c r="BU39" i="5"/>
  <c r="BV38" i="5"/>
  <c r="AK36" i="5"/>
  <c r="AL35" i="5"/>
  <c r="X37" i="5"/>
  <c r="Y36" i="5"/>
  <c r="L36" i="5"/>
  <c r="M35" i="5"/>
  <c r="BI37" i="5" l="1"/>
  <c r="BJ36" i="5"/>
  <c r="AW36" i="5"/>
  <c r="AX35" i="5"/>
  <c r="BU40" i="5"/>
  <c r="BV39" i="5"/>
  <c r="X38" i="5"/>
  <c r="Y37" i="5"/>
  <c r="AK37" i="5"/>
  <c r="AL36" i="5"/>
  <c r="L37" i="5"/>
  <c r="M36" i="5"/>
  <c r="AW37" i="5" l="1"/>
  <c r="AX36" i="5"/>
  <c r="BI38" i="5"/>
  <c r="BJ37" i="5"/>
  <c r="BU41" i="5"/>
  <c r="BV40" i="5"/>
  <c r="AK38" i="5"/>
  <c r="AL37" i="5"/>
  <c r="X39" i="5"/>
  <c r="Y38" i="5"/>
  <c r="L38" i="5"/>
  <c r="M37" i="5"/>
  <c r="BI39" i="5" l="1"/>
  <c r="BJ38" i="5"/>
  <c r="AW38" i="5"/>
  <c r="AX37" i="5"/>
  <c r="BU42" i="5"/>
  <c r="BV41" i="5"/>
  <c r="X40" i="5"/>
  <c r="Y39" i="5"/>
  <c r="AK39" i="5"/>
  <c r="AL38" i="5"/>
  <c r="L39" i="5"/>
  <c r="M38" i="5"/>
  <c r="AX38" i="5" l="1"/>
  <c r="AW39" i="5"/>
  <c r="BI40" i="5"/>
  <c r="BJ39" i="5"/>
  <c r="BU43" i="5"/>
  <c r="BV42" i="5"/>
  <c r="AK40" i="5"/>
  <c r="AL39" i="5"/>
  <c r="X41" i="5"/>
  <c r="Y40" i="5"/>
  <c r="L40" i="5"/>
  <c r="M39" i="5"/>
  <c r="BI41" i="5" l="1"/>
  <c r="BJ40" i="5"/>
  <c r="AW40" i="5"/>
  <c r="AX39" i="5"/>
  <c r="BU44" i="5"/>
  <c r="BV43" i="5"/>
  <c r="X42" i="5"/>
  <c r="Y41" i="5"/>
  <c r="AK41" i="5"/>
  <c r="AL40" i="5"/>
  <c r="L41" i="5"/>
  <c r="M40" i="5"/>
  <c r="AW41" i="5" l="1"/>
  <c r="AX40" i="5"/>
  <c r="BI42" i="5"/>
  <c r="BJ41" i="5"/>
  <c r="BU45" i="5"/>
  <c r="BV44" i="5"/>
  <c r="AK42" i="5"/>
  <c r="AL41" i="5"/>
  <c r="X43" i="5"/>
  <c r="Y42" i="5"/>
  <c r="L42" i="5"/>
  <c r="M41" i="5"/>
  <c r="BI43" i="5" l="1"/>
  <c r="BJ42" i="5"/>
  <c r="AW42" i="5"/>
  <c r="AX41" i="5"/>
  <c r="BU46" i="5"/>
  <c r="BV45" i="5"/>
  <c r="X44" i="5"/>
  <c r="Y43" i="5"/>
  <c r="AK43" i="5"/>
  <c r="AL42" i="5"/>
  <c r="L43" i="5"/>
  <c r="M42" i="5"/>
  <c r="AX42" i="5" l="1"/>
  <c r="AW43" i="5"/>
  <c r="BI44" i="5"/>
  <c r="BJ43" i="5"/>
  <c r="BU47" i="5"/>
  <c r="BV46" i="5"/>
  <c r="AK44" i="5"/>
  <c r="AL43" i="5"/>
  <c r="X45" i="5"/>
  <c r="Y44" i="5"/>
  <c r="L44" i="5"/>
  <c r="M43" i="5"/>
  <c r="BI45" i="5" l="1"/>
  <c r="BJ44" i="5"/>
  <c r="AW44" i="5"/>
  <c r="AX43" i="5"/>
  <c r="BU48" i="5"/>
  <c r="BV47" i="5"/>
  <c r="X46" i="5"/>
  <c r="Y45" i="5"/>
  <c r="AK45" i="5"/>
  <c r="AL44" i="5"/>
  <c r="L45" i="5"/>
  <c r="M44" i="5"/>
  <c r="AX44" i="5" l="1"/>
  <c r="AW45" i="5"/>
  <c r="BI46" i="5"/>
  <c r="BJ45" i="5"/>
  <c r="BU49" i="5"/>
  <c r="BV48" i="5"/>
  <c r="AK46" i="5"/>
  <c r="AL45" i="5"/>
  <c r="X47" i="5"/>
  <c r="Y46" i="5"/>
  <c r="L46" i="5"/>
  <c r="M45" i="5"/>
  <c r="BI47" i="5" l="1"/>
  <c r="BJ46" i="5"/>
  <c r="AX45" i="5"/>
  <c r="AW46" i="5"/>
  <c r="BU50" i="5"/>
  <c r="BV49" i="5"/>
  <c r="X48" i="5"/>
  <c r="Y47" i="5"/>
  <c r="AK47" i="5"/>
  <c r="AL46" i="5"/>
  <c r="L47" i="5"/>
  <c r="M46" i="5"/>
  <c r="AW47" i="5" l="1"/>
  <c r="AX46" i="5"/>
  <c r="BI48" i="5"/>
  <c r="BJ47" i="5"/>
  <c r="BU51" i="5"/>
  <c r="BV50" i="5"/>
  <c r="AK48" i="5"/>
  <c r="AL47" i="5"/>
  <c r="X49" i="5"/>
  <c r="Y48" i="5"/>
  <c r="L48" i="5"/>
  <c r="M47" i="5"/>
  <c r="BI49" i="5" l="1"/>
  <c r="BJ48" i="5"/>
  <c r="AX47" i="5"/>
  <c r="AW48" i="5"/>
  <c r="BU52" i="5"/>
  <c r="BV51" i="5"/>
  <c r="X50" i="5"/>
  <c r="Y49" i="5"/>
  <c r="AK49" i="5"/>
  <c r="AL48" i="5"/>
  <c r="L49" i="5"/>
  <c r="M48" i="5"/>
  <c r="AW49" i="5" l="1"/>
  <c r="AX48" i="5"/>
  <c r="BI50" i="5"/>
  <c r="BJ49" i="5"/>
  <c r="BU53" i="5"/>
  <c r="BV52" i="5"/>
  <c r="AK50" i="5"/>
  <c r="AL49" i="5"/>
  <c r="X51" i="5"/>
  <c r="Y50" i="5"/>
  <c r="L50" i="5"/>
  <c r="M49" i="5"/>
  <c r="BI51" i="5" l="1"/>
  <c r="BJ50" i="5"/>
  <c r="AW50" i="5"/>
  <c r="AX49" i="5"/>
  <c r="BU54" i="5"/>
  <c r="BV53" i="5"/>
  <c r="X52" i="5"/>
  <c r="Y51" i="5"/>
  <c r="AK51" i="5"/>
  <c r="AL50" i="5"/>
  <c r="L51" i="5"/>
  <c r="M50" i="5"/>
  <c r="AW51" i="5" l="1"/>
  <c r="AX50" i="5"/>
  <c r="BI52" i="5"/>
  <c r="BJ51" i="5"/>
  <c r="BU55" i="5"/>
  <c r="BV54" i="5"/>
  <c r="AK52" i="5"/>
  <c r="AL51" i="5"/>
  <c r="X53" i="5"/>
  <c r="Y52" i="5"/>
  <c r="L52" i="5"/>
  <c r="M51" i="5"/>
  <c r="BI53" i="5" l="1"/>
  <c r="BJ52" i="5"/>
  <c r="AX51" i="5"/>
  <c r="AW52" i="5"/>
  <c r="BU56" i="5"/>
  <c r="BV55" i="5"/>
  <c r="X54" i="5"/>
  <c r="Y53" i="5"/>
  <c r="AK53" i="5"/>
  <c r="AL52" i="5"/>
  <c r="L53" i="5"/>
  <c r="M52" i="5"/>
  <c r="AX52" i="5" l="1"/>
  <c r="AW53" i="5"/>
  <c r="BI54" i="5"/>
  <c r="BJ53" i="5"/>
  <c r="BU57" i="5"/>
  <c r="BV56" i="5"/>
  <c r="AK54" i="5"/>
  <c r="AL53" i="5"/>
  <c r="X55" i="5"/>
  <c r="Y54" i="5"/>
  <c r="L54" i="5"/>
  <c r="M53" i="5"/>
  <c r="BI55" i="5" l="1"/>
  <c r="BJ54" i="5"/>
  <c r="AW54" i="5"/>
  <c r="AX53" i="5"/>
  <c r="BU58" i="5"/>
  <c r="BV57" i="5"/>
  <c r="X56" i="5"/>
  <c r="Y55" i="5"/>
  <c r="AK55" i="5"/>
  <c r="AL54" i="5"/>
  <c r="L55" i="5"/>
  <c r="M54" i="5"/>
  <c r="AX54" i="5" l="1"/>
  <c r="AW55" i="5"/>
  <c r="BI56" i="5"/>
  <c r="BJ55" i="5"/>
  <c r="BU59" i="5"/>
  <c r="BV58" i="5"/>
  <c r="AK56" i="5"/>
  <c r="AL55" i="5"/>
  <c r="X57" i="5"/>
  <c r="Y56" i="5"/>
  <c r="L56" i="5"/>
  <c r="M55" i="5"/>
  <c r="BI57" i="5" l="1"/>
  <c r="BJ56" i="5"/>
  <c r="AW56" i="5"/>
  <c r="AX55" i="5"/>
  <c r="BU60" i="5"/>
  <c r="BV59" i="5"/>
  <c r="X58" i="5"/>
  <c r="Y57" i="5"/>
  <c r="AK57" i="5"/>
  <c r="AL56" i="5"/>
  <c r="L57" i="5"/>
  <c r="M56" i="5"/>
  <c r="AX56" i="5" l="1"/>
  <c r="AW57" i="5"/>
  <c r="BI58" i="5"/>
  <c r="BJ57" i="5"/>
  <c r="BU61" i="5"/>
  <c r="BV60" i="5"/>
  <c r="AK58" i="5"/>
  <c r="AL57" i="5"/>
  <c r="X59" i="5"/>
  <c r="Y58" i="5"/>
  <c r="L58" i="5"/>
  <c r="M57" i="5"/>
  <c r="BI59" i="5" l="1"/>
  <c r="BJ58" i="5"/>
  <c r="AW58" i="5"/>
  <c r="AX57" i="5"/>
  <c r="BU62" i="5"/>
  <c r="BV61" i="5"/>
  <c r="X60" i="5"/>
  <c r="Y59" i="5"/>
  <c r="AK59" i="5"/>
  <c r="AL58" i="5"/>
  <c r="L59" i="5"/>
  <c r="M58" i="5"/>
  <c r="AW59" i="5" l="1"/>
  <c r="AX58" i="5"/>
  <c r="BI60" i="5"/>
  <c r="BJ59" i="5"/>
  <c r="BU63" i="5"/>
  <c r="BV62" i="5"/>
  <c r="AK60" i="5"/>
  <c r="AL59" i="5"/>
  <c r="X61" i="5"/>
  <c r="Y60" i="5"/>
  <c r="L60" i="5"/>
  <c r="M59" i="5"/>
  <c r="BI61" i="5" l="1"/>
  <c r="BJ60" i="5"/>
  <c r="AX59" i="5"/>
  <c r="AW60" i="5"/>
  <c r="BU64" i="5"/>
  <c r="BV64" i="5" s="1"/>
  <c r="BV63" i="5"/>
  <c r="X62" i="5"/>
  <c r="Y61" i="5"/>
  <c r="AK61" i="5"/>
  <c r="AL60" i="5"/>
  <c r="L61" i="5"/>
  <c r="M60" i="5"/>
  <c r="AX60" i="5" l="1"/>
  <c r="AW61" i="5"/>
  <c r="BI62" i="5"/>
  <c r="BJ61" i="5"/>
  <c r="AK62" i="5"/>
  <c r="AL61" i="5"/>
  <c r="X63" i="5"/>
  <c r="Y62" i="5"/>
  <c r="L62" i="5"/>
  <c r="M61" i="5"/>
  <c r="BI63" i="5" l="1"/>
  <c r="BJ62" i="5"/>
  <c r="AW62" i="5"/>
  <c r="AX61" i="5"/>
  <c r="X64" i="5"/>
  <c r="Y64" i="5" s="1"/>
  <c r="Y63" i="5"/>
  <c r="AK63" i="5"/>
  <c r="AL62" i="5"/>
  <c r="L63" i="5"/>
  <c r="M62" i="5"/>
  <c r="AW63" i="5" l="1"/>
  <c r="AX62" i="5"/>
  <c r="BI64" i="5"/>
  <c r="BJ64" i="5" s="1"/>
  <c r="BJ63" i="5"/>
  <c r="AK64" i="5"/>
  <c r="AL64" i="5" s="1"/>
  <c r="AL63" i="5"/>
  <c r="L64" i="5"/>
  <c r="M64" i="5" s="1"/>
  <c r="M63" i="5"/>
  <c r="AX63" i="5" l="1"/>
  <c r="AW64" i="5"/>
  <c r="AX64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2BBB6B-2D05-48CB-B5D5-435E8231129D}" keepAlive="1" name="Zapytanie — ?format=json" description="Połączenie z zapytaniem „?format=json” w skoroszycie." type="5" refreshedVersion="8" saveData="1">
    <dbPr connection="Provider=Microsoft.Mashup.OleDb.1;Data Source=$Workbook$;Location=&quot;?format=json&quot;;Extended Properties=&quot;&quot;" command="SELECT * FROM [?format=json]"/>
    <extLst>
      <ext xmlns:x15="http://schemas.microsoft.com/office/spreadsheetml/2010/11/main" uri="{DE250136-89BD-433C-8126-D09CA5730AF9}">
        <x15:connection id="" excludeFromRefreshAll="1"/>
      </ext>
    </extLst>
  </connection>
  <connection id="2" xr16:uid="{34CD2FC0-763F-46E1-BE41-37D194BCD139}" keepAlive="1" name="Zapytanie — ?format=json (2)" description="Połączenie z zapytaniem „?format=json (2)” w skoroszycie." type="5" refreshedVersion="8" saveData="1">
    <dbPr connection="Provider=Microsoft.Mashup.OleDb.1;Data Source=$Workbook$;Location=&quot;?format=json (2)&quot;;Extended Properties=&quot;&quot;" command="SELECT * FROM [?format=json (2)]"/>
    <extLst>
      <ext xmlns:x15="http://schemas.microsoft.com/office/spreadsheetml/2010/11/main" uri="{DE250136-89BD-433C-8126-D09CA5730AF9}">
        <x15:connection id="" excludeFromRefreshAll="1"/>
      </ext>
    </extLst>
  </connection>
  <connection id="3" xr16:uid="{661A0247-CEEE-4447-AA32-C0C2BA0759C0}" keepAlive="1" name="Zapytanie — ?format=json (3)" description="Połączenie z zapytaniem „?format=json (3)” w skoroszycie." type="5" refreshedVersion="8" saveData="1">
    <dbPr connection="Provider=Microsoft.Mashup.OleDb.1;Data Source=$Workbook$;Location=&quot;?format=json (3)&quot;;Extended Properties=&quot;&quot;" command="SELECT * FROM [?format=json (3)]"/>
    <extLst>
      <ext xmlns:x15="http://schemas.microsoft.com/office/spreadsheetml/2010/11/main" uri="{DE250136-89BD-433C-8126-D09CA5730AF9}">
        <x15:connection id="" excludeFromRefreshAll="1"/>
      </ext>
    </extLst>
  </connection>
  <connection id="4" xr16:uid="{7F2050E9-051A-423F-BAC4-D03F211B4C3B}" keepAlive="1" name="Zapytanie — mwig40_d" description="Połączenie z zapytaniem „mwig40_d” w skoroszycie." type="5" refreshedVersion="8" saveData="1">
    <dbPr connection="Provider=Microsoft.Mashup.OleDb.1;Data Source=$Workbook$;Location=mwig40_d;Extended Properties=&quot;&quot;" command="SELECT * FROM [mwig40_d]"/>
    <extLst>
      <ext xmlns:x15="http://schemas.microsoft.com/office/spreadsheetml/2010/11/main" uri="{DE250136-89BD-433C-8126-D09CA5730AF9}">
        <x15:connection id="" excludeFromRefreshAll="1"/>
      </ext>
    </extLst>
  </connection>
  <connection id="5" xr16:uid="{2B8FF360-C78F-4377-9E6C-E8351F9500A8}" keepAlive="1" name="Zapytanie — swig80_d" description="Połączenie z zapytaniem „swig80_d” w skoroszycie." type="5" refreshedVersion="8" saveData="1">
    <dbPr connection="Provider=Microsoft.Mashup.OleDb.1;Data Source=$Workbook$;Location=swig80_d;Extended Properties=&quot;&quot;" command="SELECT * FROM [swig80_d]"/>
    <extLst>
      <ext xmlns:x15="http://schemas.microsoft.com/office/spreadsheetml/2010/11/main" uri="{DE250136-89BD-433C-8126-D09CA5730AF9}">
        <x15:connection id="" excludeFromRefreshAll="1"/>
      </ext>
    </extLst>
  </connection>
  <connection id="6" xr16:uid="{675DB2D4-20BA-4FF4-B7F5-2DD838288BD9}" keepAlive="1" name="Zapytanie — wig20_d" description="Połączenie z zapytaniem „wig20_d” w skoroszycie." type="5" refreshedVersion="8" saveData="1">
    <dbPr connection="Provider=Microsoft.Mashup.OleDb.1;Data Source=$Workbook$;Location=wig20_d;Extended Properties=&quot;&quot;" command="SELECT * FROM [wig20_d]"/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<sst xmlns="http://schemas.openxmlformats.org/spreadsheetml/2006/main" count="1254" uniqueCount="976">
  <si>
    <t>no</t>
  </si>
  <si>
    <t>effectiveDate</t>
  </si>
  <si>
    <t>mid</t>
  </si>
  <si>
    <t>045/A/NBP/2026</t>
  </si>
  <si>
    <t>2026-03-06</t>
  </si>
  <si>
    <t>046/A/NBP/2026</t>
  </si>
  <si>
    <t>2026-03-09</t>
  </si>
  <si>
    <t>047/A/NBP/2026</t>
  </si>
  <si>
    <t>2026-03-10</t>
  </si>
  <si>
    <t>048/A/NBP/2026</t>
  </si>
  <si>
    <t>2026-03-11</t>
  </si>
  <si>
    <t>049/A/NBP/2026</t>
  </si>
  <si>
    <t>2026-03-12</t>
  </si>
  <si>
    <t>050/A/NBP/2026</t>
  </si>
  <si>
    <t>2026-03-13</t>
  </si>
  <si>
    <t>051/A/NBP/2026</t>
  </si>
  <si>
    <t>2026-03-16</t>
  </si>
  <si>
    <t>052/A/NBP/2026</t>
  </si>
  <si>
    <t>2026-03-17</t>
  </si>
  <si>
    <t>053/A/NBP/2026</t>
  </si>
  <si>
    <t>2026-03-18</t>
  </si>
  <si>
    <t>054/A/NBP/2026</t>
  </si>
  <si>
    <t>2026-03-19</t>
  </si>
  <si>
    <t>055/A/NBP/2026</t>
  </si>
  <si>
    <t>2026-03-20</t>
  </si>
  <si>
    <t>056/A/NBP/2026</t>
  </si>
  <si>
    <t>2026-03-23</t>
  </si>
  <si>
    <t>057/A/NBP/2026</t>
  </si>
  <si>
    <t>2026-03-24</t>
  </si>
  <si>
    <t>058/A/NBP/2026</t>
  </si>
  <si>
    <t>2026-03-25</t>
  </si>
  <si>
    <t>059/A/NBP/2026</t>
  </si>
  <si>
    <t>2026-03-26</t>
  </si>
  <si>
    <t>060/A/NBP/2026</t>
  </si>
  <si>
    <t>2026-03-27</t>
  </si>
  <si>
    <t>061/A/NBP/2026</t>
  </si>
  <si>
    <t>2026-03-30</t>
  </si>
  <si>
    <t>062/A/NBP/2026</t>
  </si>
  <si>
    <t>2026-03-31</t>
  </si>
  <si>
    <t>063/A/NBP/2026</t>
  </si>
  <si>
    <t>2026-04-01</t>
  </si>
  <si>
    <t>064/A/NBP/2026</t>
  </si>
  <si>
    <t>2026-04-02</t>
  </si>
  <si>
    <t>065/A/NBP/2026</t>
  </si>
  <si>
    <t>2026-04-03</t>
  </si>
  <si>
    <t>066/A/NBP/2026</t>
  </si>
  <si>
    <t>2026-04-07</t>
  </si>
  <si>
    <t>067/A/NBP/2026</t>
  </si>
  <si>
    <t>2026-04-08</t>
  </si>
  <si>
    <t>068/A/NBP/2026</t>
  </si>
  <si>
    <t>2026-04-09</t>
  </si>
  <si>
    <t>069/A/NBP/2026</t>
  </si>
  <si>
    <t>2026-04-10</t>
  </si>
  <si>
    <t>070/A/NBP/2026</t>
  </si>
  <si>
    <t>2026-04-13</t>
  </si>
  <si>
    <t>071/A/NBP/2026</t>
  </si>
  <si>
    <t>2026-04-14</t>
  </si>
  <si>
    <t>072/A/NBP/2026</t>
  </si>
  <si>
    <t>2026-04-15</t>
  </si>
  <si>
    <t>073/A/NBP/2026</t>
  </si>
  <si>
    <t>2026-04-16</t>
  </si>
  <si>
    <t>074/A/NBP/2026</t>
  </si>
  <si>
    <t>2026-04-17</t>
  </si>
  <si>
    <t>075/A/NBP/2026</t>
  </si>
  <si>
    <t>2026-04-20</t>
  </si>
  <si>
    <t>076/A/NBP/2026</t>
  </si>
  <si>
    <t>2026-04-21</t>
  </si>
  <si>
    <t>077/A/NBP/2026</t>
  </si>
  <si>
    <t>2026-04-22</t>
  </si>
  <si>
    <t>078/A/NBP/2026</t>
  </si>
  <si>
    <t>2026-04-23</t>
  </si>
  <si>
    <t>079/A/NBP/2026</t>
  </si>
  <si>
    <t>2026-04-24</t>
  </si>
  <si>
    <t>080/A/NBP/2026</t>
  </si>
  <si>
    <t>2026-04-27</t>
  </si>
  <si>
    <t>081/A/NBP/2026</t>
  </si>
  <si>
    <t>2026-04-28</t>
  </si>
  <si>
    <t>082/A/NBP/2026</t>
  </si>
  <si>
    <t>2026-04-29</t>
  </si>
  <si>
    <t>083/A/NBP/2026</t>
  </si>
  <si>
    <t>2026-04-30</t>
  </si>
  <si>
    <t>084/A/NBP/2026</t>
  </si>
  <si>
    <t>2026-05-04</t>
  </si>
  <si>
    <t>085/A/NBP/2026</t>
  </si>
  <si>
    <t>2026-05-05</t>
  </si>
  <si>
    <t>086/A/NBP/2026</t>
  </si>
  <si>
    <t>2026-05-06</t>
  </si>
  <si>
    <t>087/A/NBP/2026</t>
  </si>
  <si>
    <t>2026-05-07</t>
  </si>
  <si>
    <t>088/A/NBP/2026</t>
  </si>
  <si>
    <t>2026-05-08</t>
  </si>
  <si>
    <t>089/A/NBP/2026</t>
  </si>
  <si>
    <t>2026-05-11</t>
  </si>
  <si>
    <t>090/A/NBP/2026</t>
  </si>
  <si>
    <t>2026-05-12</t>
  </si>
  <si>
    <t>091/A/NBP/2026</t>
  </si>
  <si>
    <t>2026-05-13</t>
  </si>
  <si>
    <t>092/A/NBP/2026</t>
  </si>
  <si>
    <t>2026-05-14</t>
  </si>
  <si>
    <t>093/A/NBP/2026</t>
  </si>
  <si>
    <t>2026-05-15</t>
  </si>
  <si>
    <t>094/A/NBP/2026</t>
  </si>
  <si>
    <t>2026-05-18</t>
  </si>
  <si>
    <t>095/A/NBP/2026</t>
  </si>
  <si>
    <t>2026-05-19</t>
  </si>
  <si>
    <t>096/A/NBP/2026</t>
  </si>
  <si>
    <t>2026-05-20</t>
  </si>
  <si>
    <t>097/A/NBP/2026</t>
  </si>
  <si>
    <t>2026-05-21</t>
  </si>
  <si>
    <t>098/A/NBP/2026</t>
  </si>
  <si>
    <t>2026-05-22</t>
  </si>
  <si>
    <t>099/A/NBP/2026</t>
  </si>
  <si>
    <t>2026-05-25</t>
  </si>
  <si>
    <t>100/A/NBP/2026</t>
  </si>
  <si>
    <t>2026-05-26</t>
  </si>
  <si>
    <t>101/A/NBP/2026</t>
  </si>
  <si>
    <t>2026-05-27</t>
  </si>
  <si>
    <t>102/A/NBP/2026</t>
  </si>
  <si>
    <t>2026-05-28</t>
  </si>
  <si>
    <t>103/A/NBP/2026</t>
  </si>
  <si>
    <t>2026-05-29</t>
  </si>
  <si>
    <t>104/A/NBP/2026</t>
  </si>
  <si>
    <t>2026-06-01</t>
  </si>
  <si>
    <t>105/A/NBP/2026</t>
  </si>
  <si>
    <t>2026-06-02</t>
  </si>
  <si>
    <t>USD/PLN</t>
  </si>
  <si>
    <t>EUR/PLN</t>
  </si>
  <si>
    <t>data</t>
  </si>
  <si>
    <t>cena</t>
  </si>
  <si>
    <t>złoto</t>
  </si>
  <si>
    <t>wig20</t>
  </si>
  <si>
    <t>Data</t>
  </si>
  <si>
    <t>Otwarcie</t>
  </si>
  <si>
    <t>Najwyzszy</t>
  </si>
  <si>
    <t>Najnizszy</t>
  </si>
  <si>
    <t>Zamkniecie</t>
  </si>
  <si>
    <t>Wolumen</t>
  </si>
  <si>
    <t>3349.06</t>
  </si>
  <si>
    <t>3244.45</t>
  </si>
  <si>
    <t>3262.33</t>
  </si>
  <si>
    <t>35225960</t>
  </si>
  <si>
    <t>3212.39</t>
  </si>
  <si>
    <t>3265.24</t>
  </si>
  <si>
    <t>3182.92</t>
  </si>
  <si>
    <t>3256.8</t>
  </si>
  <si>
    <t>31466995</t>
  </si>
  <si>
    <t>3324.61</t>
  </si>
  <si>
    <t>3348.02</t>
  </si>
  <si>
    <t>3310.49</t>
  </si>
  <si>
    <t>3327.28</t>
  </si>
  <si>
    <t>24304250</t>
  </si>
  <si>
    <t>3324.09</t>
  </si>
  <si>
    <t>3330.6</t>
  </si>
  <si>
    <t>3288.52</t>
  </si>
  <si>
    <t>3312.71</t>
  </si>
  <si>
    <t>27372506</t>
  </si>
  <si>
    <t>3327.68</t>
  </si>
  <si>
    <t>3329.98</t>
  </si>
  <si>
    <t>3252.34</t>
  </si>
  <si>
    <t>3291.27</t>
  </si>
  <si>
    <t>32406811</t>
  </si>
  <si>
    <t>3263.95</t>
  </si>
  <si>
    <t>3310.71</t>
  </si>
  <si>
    <t>3249.92</t>
  </si>
  <si>
    <t>3274.54</t>
  </si>
  <si>
    <t>28176970</t>
  </si>
  <si>
    <t>3281.31</t>
  </si>
  <si>
    <t>3305.54</t>
  </si>
  <si>
    <t>3259.04</t>
  </si>
  <si>
    <t>3292.46</t>
  </si>
  <si>
    <t>20979461</t>
  </si>
  <si>
    <t>3290.39</t>
  </si>
  <si>
    <t>3373.93</t>
  </si>
  <si>
    <t>3287.89</t>
  </si>
  <si>
    <t>3359.96</t>
  </si>
  <si>
    <t>34518048</t>
  </si>
  <si>
    <t>3379.99</t>
  </si>
  <si>
    <t>3408.97</t>
  </si>
  <si>
    <t>3338.2</t>
  </si>
  <si>
    <t>29911477</t>
  </si>
  <si>
    <t>3315.79</t>
  </si>
  <si>
    <t>3266.46</t>
  </si>
  <si>
    <t>3276.57</t>
  </si>
  <si>
    <t>36177727</t>
  </si>
  <si>
    <t>3297.49</t>
  </si>
  <si>
    <t>3309.63</t>
  </si>
  <si>
    <t>3230.89</t>
  </si>
  <si>
    <t>3248.12</t>
  </si>
  <si>
    <t>71769333</t>
  </si>
  <si>
    <t>3200.99</t>
  </si>
  <si>
    <t>3293.34</t>
  </si>
  <si>
    <t>3134.6</t>
  </si>
  <si>
    <t>3268.15</t>
  </si>
  <si>
    <t>36155589</t>
  </si>
  <si>
    <t>3273.93</t>
  </si>
  <si>
    <t>3222.74</t>
  </si>
  <si>
    <t>3241.42</t>
  </si>
  <si>
    <t>29272459</t>
  </si>
  <si>
    <t>3284.57</t>
  </si>
  <si>
    <t>3320.43</t>
  </si>
  <si>
    <t>3278</t>
  </si>
  <si>
    <t>3312.41</t>
  </si>
  <si>
    <t>25718587</t>
  </si>
  <si>
    <t>3302.86</t>
  </si>
  <si>
    <t>3283.13</t>
  </si>
  <si>
    <t>3306.6</t>
  </si>
  <si>
    <t>27592252</t>
  </si>
  <si>
    <t>3306.41</t>
  </si>
  <si>
    <t>3234.51</t>
  </si>
  <si>
    <t>3268.55</t>
  </si>
  <si>
    <t>46852266</t>
  </si>
  <si>
    <t>3263.53</t>
  </si>
  <si>
    <t>3312.74</t>
  </si>
  <si>
    <t>3242.1</t>
  </si>
  <si>
    <t>3283.06</t>
  </si>
  <si>
    <t>38593179</t>
  </si>
  <si>
    <t>3301.47</t>
  </si>
  <si>
    <t>3349.83</t>
  </si>
  <si>
    <t>3298.02</t>
  </si>
  <si>
    <t>3340.77</t>
  </si>
  <si>
    <t>37052212</t>
  </si>
  <si>
    <t>3406.68</t>
  </si>
  <si>
    <t>3415.47</t>
  </si>
  <si>
    <t>3389.9</t>
  </si>
  <si>
    <t>3402.92</t>
  </si>
  <si>
    <t>31462744</t>
  </si>
  <si>
    <t>3361.26</t>
  </si>
  <si>
    <t>3433.65</t>
  </si>
  <si>
    <t>3354.48</t>
  </si>
  <si>
    <t>29078416</t>
  </si>
  <si>
    <t>3432.17</t>
  </si>
  <si>
    <t>3491.68</t>
  </si>
  <si>
    <t>3406.97</t>
  </si>
  <si>
    <t>3416.8</t>
  </si>
  <si>
    <t>30590594</t>
  </si>
  <si>
    <t>3499.87</t>
  </si>
  <si>
    <t>3559.04</t>
  </si>
  <si>
    <t>3479.14</t>
  </si>
  <si>
    <t>3533.95</t>
  </si>
  <si>
    <t>48795820</t>
  </si>
  <si>
    <t>3528.54</t>
  </si>
  <si>
    <t>3554.16</t>
  </si>
  <si>
    <t>3514.01</t>
  </si>
  <si>
    <t>3552.48</t>
  </si>
  <si>
    <t>37697107</t>
  </si>
  <si>
    <t>3562.53</t>
  </si>
  <si>
    <t>3596.84</t>
  </si>
  <si>
    <t>3539.96</t>
  </si>
  <si>
    <t>35362224</t>
  </si>
  <si>
    <t>3590.57</t>
  </si>
  <si>
    <t>3596.03</t>
  </si>
  <si>
    <t>3565.98</t>
  </si>
  <si>
    <t>40116769</t>
  </si>
  <si>
    <t>3621.53</t>
  </si>
  <si>
    <t>3654.27</t>
  </si>
  <si>
    <t>3603.14</t>
  </si>
  <si>
    <t>3636.72</t>
  </si>
  <si>
    <t>36467020</t>
  </si>
  <si>
    <t>3631.53</t>
  </si>
  <si>
    <t>3670.08</t>
  </si>
  <si>
    <t>3624.78</t>
  </si>
  <si>
    <t>3665.94</t>
  </si>
  <si>
    <t>38428715</t>
  </si>
  <si>
    <t>3672.41</t>
  </si>
  <si>
    <t>3674.29</t>
  </si>
  <si>
    <t>3626.91</t>
  </si>
  <si>
    <t>3649.5</t>
  </si>
  <si>
    <t>35850136</t>
  </si>
  <si>
    <t>3635.1</t>
  </si>
  <si>
    <t>3704.61</t>
  </si>
  <si>
    <t>3625.43</t>
  </si>
  <si>
    <t>3700.6</t>
  </si>
  <si>
    <t>37417623</t>
  </si>
  <si>
    <t>3664.77</t>
  </si>
  <si>
    <t>3677.76</t>
  </si>
  <si>
    <t>3651.63</t>
  </si>
  <si>
    <t>3666.86</t>
  </si>
  <si>
    <t>25258821</t>
  </si>
  <si>
    <t>3667.59</t>
  </si>
  <si>
    <t>3676.44</t>
  </si>
  <si>
    <t>3640</t>
  </si>
  <si>
    <t>22641146</t>
  </si>
  <si>
    <t>3638.09</t>
  </si>
  <si>
    <t>3638.74</t>
  </si>
  <si>
    <t>3606.52</t>
  </si>
  <si>
    <t>3615.77</t>
  </si>
  <si>
    <t>26602908</t>
  </si>
  <si>
    <t>3607.54</t>
  </si>
  <si>
    <t>3555.22</t>
  </si>
  <si>
    <t>3578.84</t>
  </si>
  <si>
    <t>29894016</t>
  </si>
  <si>
    <t>3573.12</t>
  </si>
  <si>
    <t>3579.8</t>
  </si>
  <si>
    <t>3537.24</t>
  </si>
  <si>
    <t>3556.91</t>
  </si>
  <si>
    <t>21978831</t>
  </si>
  <si>
    <t>3566.6</t>
  </si>
  <si>
    <t>3520.44</t>
  </si>
  <si>
    <t>3528.9</t>
  </si>
  <si>
    <t>26503509</t>
  </si>
  <si>
    <t>3530.76</t>
  </si>
  <si>
    <t>3566.57</t>
  </si>
  <si>
    <t>3497.84</t>
  </si>
  <si>
    <t>3502.06</t>
  </si>
  <si>
    <t>24923551</t>
  </si>
  <si>
    <t>3524</t>
  </si>
  <si>
    <t>3563</t>
  </si>
  <si>
    <t>3493.5</t>
  </si>
  <si>
    <t>3503.71</t>
  </si>
  <si>
    <t>37070573</t>
  </si>
  <si>
    <t>3519.59</t>
  </si>
  <si>
    <t>3526.73</t>
  </si>
  <si>
    <t>3466.2</t>
  </si>
  <si>
    <t>3487.99</t>
  </si>
  <si>
    <t>31464000</t>
  </si>
  <si>
    <t>3523.9</t>
  </si>
  <si>
    <t>3535.82</t>
  </si>
  <si>
    <t>3462.64</t>
  </si>
  <si>
    <t>3491.84</t>
  </si>
  <si>
    <t>25265866</t>
  </si>
  <si>
    <t>3491.02</t>
  </si>
  <si>
    <t>3529.57</t>
  </si>
  <si>
    <t>3482.66</t>
  </si>
  <si>
    <t>24628817</t>
  </si>
  <si>
    <t>3560.7</t>
  </si>
  <si>
    <t>3638.51</t>
  </si>
  <si>
    <t>3558.4</t>
  </si>
  <si>
    <t>3629.57</t>
  </si>
  <si>
    <t>34047137</t>
  </si>
  <si>
    <t>3638.82</t>
  </si>
  <si>
    <t>3640.35</t>
  </si>
  <si>
    <t>3575.85</t>
  </si>
  <si>
    <t>3592.99</t>
  </si>
  <si>
    <t>30490624</t>
  </si>
  <si>
    <t>3606.98</t>
  </si>
  <si>
    <t>3522.26</t>
  </si>
  <si>
    <t>3535.94</t>
  </si>
  <si>
    <t>28464730</t>
  </si>
  <si>
    <t>3540.37</t>
  </si>
  <si>
    <t>3602.4</t>
  </si>
  <si>
    <t>3519.83</t>
  </si>
  <si>
    <t>3586.34</t>
  </si>
  <si>
    <t>24382901</t>
  </si>
  <si>
    <t>3569.01</t>
  </si>
  <si>
    <t>3513.26</t>
  </si>
  <si>
    <t>3518.79</t>
  </si>
  <si>
    <t>29499097</t>
  </si>
  <si>
    <t>3553.67</t>
  </si>
  <si>
    <t>3596.05</t>
  </si>
  <si>
    <t>3538.4</t>
  </si>
  <si>
    <t>3592.36</t>
  </si>
  <si>
    <t>27223472</t>
  </si>
  <si>
    <t>3612.64</t>
  </si>
  <si>
    <t>3663.09</t>
  </si>
  <si>
    <t>3576.4</t>
  </si>
  <si>
    <t>3631.56</t>
  </si>
  <si>
    <t>30621449</t>
  </si>
  <si>
    <t>3593.6</t>
  </si>
  <si>
    <t>3606.66</t>
  </si>
  <si>
    <t>3541.57</t>
  </si>
  <si>
    <t>3545.38</t>
  </si>
  <si>
    <t>35633468</t>
  </si>
  <si>
    <t>3534.61</t>
  </si>
  <si>
    <t>3620.07</t>
  </si>
  <si>
    <t>3524.03</t>
  </si>
  <si>
    <t>3610.09</t>
  </si>
  <si>
    <t>24007060</t>
  </si>
  <si>
    <t>3605.38</t>
  </si>
  <si>
    <t>3621.33</t>
  </si>
  <si>
    <t>3549.8</t>
  </si>
  <si>
    <t>3552.49</t>
  </si>
  <si>
    <t>25537092</t>
  </si>
  <si>
    <t>3563.25</t>
  </si>
  <si>
    <t>3622.06</t>
  </si>
  <si>
    <t>3540.23</t>
  </si>
  <si>
    <t>3610.7</t>
  </si>
  <si>
    <t>26244906</t>
  </si>
  <si>
    <t>3600.45</t>
  </si>
  <si>
    <t>3612.61</t>
  </si>
  <si>
    <t>3568.51</t>
  </si>
  <si>
    <t>3590</t>
  </si>
  <si>
    <t>24699024</t>
  </si>
  <si>
    <t>3615.99</t>
  </si>
  <si>
    <t>3657.58</t>
  </si>
  <si>
    <t>3609.4</t>
  </si>
  <si>
    <t>3641.19</t>
  </si>
  <si>
    <t>26469576</t>
  </si>
  <si>
    <t>3680.13</t>
  </si>
  <si>
    <t>3724.23</t>
  </si>
  <si>
    <t>3719.68</t>
  </si>
  <si>
    <t>25255640</t>
  </si>
  <si>
    <t>3718.87</t>
  </si>
  <si>
    <t>3729.15</t>
  </si>
  <si>
    <t>3682.07</t>
  </si>
  <si>
    <t>21057844</t>
  </si>
  <si>
    <t>3706.21</t>
  </si>
  <si>
    <t>3724.6</t>
  </si>
  <si>
    <t>3671.65</t>
  </si>
  <si>
    <t>27425524</t>
  </si>
  <si>
    <t>3664.64</t>
  </si>
  <si>
    <t>3689.17</t>
  </si>
  <si>
    <t>3660.76</t>
  </si>
  <si>
    <t>3670.49</t>
  </si>
  <si>
    <t>27417512.256657</t>
  </si>
  <si>
    <t>3692.98</t>
  </si>
  <si>
    <t>3708.55</t>
  </si>
  <si>
    <t>3685.05</t>
  </si>
  <si>
    <t>3686.96</t>
  </si>
  <si>
    <t>48503573</t>
  </si>
  <si>
    <t>3694.96</t>
  </si>
  <si>
    <t>3631.04</t>
  </si>
  <si>
    <t>21206800.894835</t>
  </si>
  <si>
    <t>3667.37</t>
  </si>
  <si>
    <t>3715.27</t>
  </si>
  <si>
    <t>3643.36</t>
  </si>
  <si>
    <t>3668.51</t>
  </si>
  <si>
    <t>33302186</t>
  </si>
  <si>
    <t>WIG20</t>
  </si>
  <si>
    <t>mwig40</t>
  </si>
  <si>
    <t>8731.67</t>
  </si>
  <si>
    <t>8739.08</t>
  </si>
  <si>
    <t>8472.49</t>
  </si>
  <si>
    <t>8516.38</t>
  </si>
  <si>
    <t>8391.68</t>
  </si>
  <si>
    <t>8495.42</t>
  </si>
  <si>
    <t>8328.1</t>
  </si>
  <si>
    <t>8474.65</t>
  </si>
  <si>
    <t>8651.16</t>
  </si>
  <si>
    <t>8708.84</t>
  </si>
  <si>
    <t>8521.03</t>
  </si>
  <si>
    <t>8578.78</t>
  </si>
  <si>
    <t>8619.7</t>
  </si>
  <si>
    <t>8448.78</t>
  </si>
  <si>
    <t>8472.15</t>
  </si>
  <si>
    <t>8491.5</t>
  </si>
  <si>
    <t>8322.45</t>
  </si>
  <si>
    <t>8357.95</t>
  </si>
  <si>
    <t>8339.35</t>
  </si>
  <si>
    <t>8421.92</t>
  </si>
  <si>
    <t>8267.12</t>
  </si>
  <si>
    <t>8361.59</t>
  </si>
  <si>
    <t>8389.1</t>
  </si>
  <si>
    <t>8396.41</t>
  </si>
  <si>
    <t>8267.37</t>
  </si>
  <si>
    <t>8361.63</t>
  </si>
  <si>
    <t>8396.15</t>
  </si>
  <si>
    <t>8623.55</t>
  </si>
  <si>
    <t>8353.59</t>
  </si>
  <si>
    <t>8673.73</t>
  </si>
  <si>
    <t>8716.65</t>
  </si>
  <si>
    <t>8527.87</t>
  </si>
  <si>
    <t>8537.47</t>
  </si>
  <si>
    <t>8525.93</t>
  </si>
  <si>
    <t>8380.77</t>
  </si>
  <si>
    <t>8418.91</t>
  </si>
  <si>
    <t>8489.56</t>
  </si>
  <si>
    <t>8191.21</t>
  </si>
  <si>
    <t>8247.07</t>
  </si>
  <si>
    <t>8120.29</t>
  </si>
  <si>
    <t>8343.89</t>
  </si>
  <si>
    <t>7992.65</t>
  </si>
  <si>
    <t>8297.37</t>
  </si>
  <si>
    <t>8311.98</t>
  </si>
  <si>
    <t>8155.21</t>
  </si>
  <si>
    <t>8194.25</t>
  </si>
  <si>
    <t>8295.22</t>
  </si>
  <si>
    <t>8361.58</t>
  </si>
  <si>
    <t>8268</t>
  </si>
  <si>
    <t>8298.55</t>
  </si>
  <si>
    <t>8314.35</t>
  </si>
  <si>
    <t>8210.64</t>
  </si>
  <si>
    <t>8273.52</t>
  </si>
  <si>
    <t>8300.39</t>
  </si>
  <si>
    <t>8147.46</t>
  </si>
  <si>
    <t>8240.93</t>
  </si>
  <si>
    <t>8222.74</t>
  </si>
  <si>
    <t>8329.65</t>
  </si>
  <si>
    <t>8159</t>
  </si>
  <si>
    <t>8288.88</t>
  </si>
  <si>
    <t>8338.76</t>
  </si>
  <si>
    <t>8495.59</t>
  </si>
  <si>
    <t>8467.42</t>
  </si>
  <si>
    <t>8580.18</t>
  </si>
  <si>
    <t>8622.07</t>
  </si>
  <si>
    <t>8549.46</t>
  </si>
  <si>
    <t>8580.74</t>
  </si>
  <si>
    <t>8530.67</t>
  </si>
  <si>
    <t>8652.4</t>
  </si>
  <si>
    <t>8506.05</t>
  </si>
  <si>
    <t>8652.26</t>
  </si>
  <si>
    <t>8741.25</t>
  </si>
  <si>
    <t>8574.48</t>
  </si>
  <si>
    <t>8632.3</t>
  </si>
  <si>
    <t>8778.21</t>
  </si>
  <si>
    <t>8924.65</t>
  </si>
  <si>
    <t>8764.43</t>
  </si>
  <si>
    <t>8918.69</t>
  </si>
  <si>
    <t>8913.88</t>
  </si>
  <si>
    <t>8922.67</t>
  </si>
  <si>
    <t>8856.34</t>
  </si>
  <si>
    <t>8895.59</t>
  </si>
  <si>
    <t>8910.23</t>
  </si>
  <si>
    <t>9050.05</t>
  </si>
  <si>
    <t>8904.3</t>
  </si>
  <si>
    <t>9036.06</t>
  </si>
  <si>
    <t>9016.55</t>
  </si>
  <si>
    <t>9053.28</t>
  </si>
  <si>
    <t>8965.22</t>
  </si>
  <si>
    <t>9031.26</t>
  </si>
  <si>
    <t>9098.27</t>
  </si>
  <si>
    <t>9145.29</t>
  </si>
  <si>
    <t>9060.71</t>
  </si>
  <si>
    <t>9144.9</t>
  </si>
  <si>
    <t>9173.85</t>
  </si>
  <si>
    <t>9236.47</t>
  </si>
  <si>
    <t>9138.85</t>
  </si>
  <si>
    <t>9263.37</t>
  </si>
  <si>
    <t>9264.81</t>
  </si>
  <si>
    <t>9098.86</t>
  </si>
  <si>
    <t>9178.15</t>
  </si>
  <si>
    <t>9188.53</t>
  </si>
  <si>
    <t>9316.74</t>
  </si>
  <si>
    <t>9160.49</t>
  </si>
  <si>
    <t>9307</t>
  </si>
  <si>
    <t>9239.16</t>
  </si>
  <si>
    <t>9267.77</t>
  </si>
  <si>
    <t>9184.83</t>
  </si>
  <si>
    <t>9240.29</t>
  </si>
  <si>
    <t>9204.42</t>
  </si>
  <si>
    <t>9122.65</t>
  </si>
  <si>
    <t>9127.87</t>
  </si>
  <si>
    <t>9130.94</t>
  </si>
  <si>
    <t>9160.83</t>
  </si>
  <si>
    <t>9069.44</t>
  </si>
  <si>
    <t>9134.16</t>
  </si>
  <si>
    <t>9114.76</t>
  </si>
  <si>
    <t>9004.66</t>
  </si>
  <si>
    <t>9033.5</t>
  </si>
  <si>
    <t>9052.98</t>
  </si>
  <si>
    <t>8927.09</t>
  </si>
  <si>
    <t>8991.98</t>
  </si>
  <si>
    <t>9053.6</t>
  </si>
  <si>
    <t>8937.75</t>
  </si>
  <si>
    <t>8955.93</t>
  </si>
  <si>
    <t>8992.52</t>
  </si>
  <si>
    <t>9012.01</t>
  </si>
  <si>
    <t>8908.48</t>
  </si>
  <si>
    <t>8919.38</t>
  </si>
  <si>
    <t>8940.06</t>
  </si>
  <si>
    <t>9027.2</t>
  </si>
  <si>
    <t>8901.59</t>
  </si>
  <si>
    <t>8960.77</t>
  </si>
  <si>
    <t>8989.39</t>
  </si>
  <si>
    <t>8914.29</t>
  </si>
  <si>
    <t>8940.33</t>
  </si>
  <si>
    <t>9015.95</t>
  </si>
  <si>
    <t>9057.06</t>
  </si>
  <si>
    <t>8928.06</t>
  </si>
  <si>
    <t>9038.16</t>
  </si>
  <si>
    <t>9041.8</t>
  </si>
  <si>
    <t>9102.68</t>
  </si>
  <si>
    <t>9001.34</t>
  </si>
  <si>
    <t>9184.35</t>
  </si>
  <si>
    <t>9270.89</t>
  </si>
  <si>
    <t>9156.84</t>
  </si>
  <si>
    <t>9261.74</t>
  </si>
  <si>
    <t>9292.75</t>
  </si>
  <si>
    <t>9172.39</t>
  </si>
  <si>
    <t>9244.69</t>
  </si>
  <si>
    <t>9256.62</t>
  </si>
  <si>
    <t>9068.23</t>
  </si>
  <si>
    <t>9130.05</t>
  </si>
  <si>
    <t>9174.08</t>
  </si>
  <si>
    <t>9072.57</t>
  </si>
  <si>
    <t>9135.19</t>
  </si>
  <si>
    <t>9166.44</t>
  </si>
  <si>
    <t>9021.56</t>
  </si>
  <si>
    <t>9034.25</t>
  </si>
  <si>
    <t>9044.32</t>
  </si>
  <si>
    <t>9057.7</t>
  </si>
  <si>
    <t>8972.87</t>
  </si>
  <si>
    <t>9053.59</t>
  </si>
  <si>
    <t>9111.36</t>
  </si>
  <si>
    <t>9224.78</t>
  </si>
  <si>
    <t>9051.7</t>
  </si>
  <si>
    <t>9183.84</t>
  </si>
  <si>
    <t>9200.4</t>
  </si>
  <si>
    <t>9098.65</t>
  </si>
  <si>
    <t>9139.42</t>
  </si>
  <si>
    <t>9129.16</t>
  </si>
  <si>
    <t>9227.59</t>
  </si>
  <si>
    <t>9097.18</t>
  </si>
  <si>
    <t>9215.6</t>
  </si>
  <si>
    <t>9277</t>
  </si>
  <si>
    <t>9163.69</t>
  </si>
  <si>
    <t>9194.82</t>
  </si>
  <si>
    <t>9239.06</t>
  </si>
  <si>
    <t>9314.32</t>
  </si>
  <si>
    <t>9187.79</t>
  </si>
  <si>
    <t>9310.07</t>
  </si>
  <si>
    <t>9306.03</t>
  </si>
  <si>
    <t>9418.98</t>
  </si>
  <si>
    <t>9284.11</t>
  </si>
  <si>
    <t>9367.04</t>
  </si>
  <si>
    <t>9416.7</t>
  </si>
  <si>
    <t>9480.13</t>
  </si>
  <si>
    <t>9375.88</t>
  </si>
  <si>
    <t>9518.8</t>
  </si>
  <si>
    <t>9662.54</t>
  </si>
  <si>
    <t>9513.06</t>
  </si>
  <si>
    <t>9657.17</t>
  </si>
  <si>
    <t>9674.34</t>
  </si>
  <si>
    <t>9599.27</t>
  </si>
  <si>
    <t>9608.16</t>
  </si>
  <si>
    <t>9590.87</t>
  </si>
  <si>
    <t>9615.33</t>
  </si>
  <si>
    <t>9521.67</t>
  </si>
  <si>
    <t>9487.47</t>
  </si>
  <si>
    <t>9576.65</t>
  </si>
  <si>
    <t>9457.88</t>
  </si>
  <si>
    <t>9572.57</t>
  </si>
  <si>
    <t>9597.39</t>
  </si>
  <si>
    <t>9657.96</t>
  </si>
  <si>
    <t>9596.62</t>
  </si>
  <si>
    <t>9624.8</t>
  </si>
  <si>
    <t>9606.36</t>
  </si>
  <si>
    <t>9608.66</t>
  </si>
  <si>
    <t>9451.25</t>
  </si>
  <si>
    <t>9463.33</t>
  </si>
  <si>
    <t>9492.44</t>
  </si>
  <si>
    <t>9611.1</t>
  </si>
  <si>
    <t>9530.78</t>
  </si>
  <si>
    <t>swig80</t>
  </si>
  <si>
    <t>31111.28</t>
  </si>
  <si>
    <t>30460.39</t>
  </si>
  <si>
    <t>30658.34</t>
  </si>
  <si>
    <t>3225309</t>
  </si>
  <si>
    <t>30138.4</t>
  </si>
  <si>
    <t>30384.66</t>
  </si>
  <si>
    <t>29995.45</t>
  </si>
  <si>
    <t>5443518</t>
  </si>
  <si>
    <t>30649.13</t>
  </si>
  <si>
    <t>30900.75</t>
  </si>
  <si>
    <t>30589.76</t>
  </si>
  <si>
    <t>30686.76</t>
  </si>
  <si>
    <t>4070966</t>
  </si>
  <si>
    <t>30802.05</t>
  </si>
  <si>
    <t>30806.66</t>
  </si>
  <si>
    <t>30567.63</t>
  </si>
  <si>
    <t>30604.91</t>
  </si>
  <si>
    <t>3430285</t>
  </si>
  <si>
    <t>30660.81</t>
  </si>
  <si>
    <t>30685.51</t>
  </si>
  <si>
    <t>30177.26</t>
  </si>
  <si>
    <t>30349.83</t>
  </si>
  <si>
    <t>3973260</t>
  </si>
  <si>
    <t>30257.71</t>
  </si>
  <si>
    <t>30331.54</t>
  </si>
  <si>
    <t>30021.68</t>
  </si>
  <si>
    <t>30235.7</t>
  </si>
  <si>
    <t>3346764</t>
  </si>
  <si>
    <t>30289.12</t>
  </si>
  <si>
    <t>30304.56</t>
  </si>
  <si>
    <t>30035.7</t>
  </si>
  <si>
    <t>30233.82</t>
  </si>
  <si>
    <t>4362680</t>
  </si>
  <si>
    <t>30273.54</t>
  </si>
  <si>
    <t>30499.4</t>
  </si>
  <si>
    <t>30180.16</t>
  </si>
  <si>
    <t>30485.61</t>
  </si>
  <si>
    <t>6876014</t>
  </si>
  <si>
    <t>30593.28</t>
  </si>
  <si>
    <t>30695.03</t>
  </si>
  <si>
    <t>30315.52</t>
  </si>
  <si>
    <t>4643251</t>
  </si>
  <si>
    <t>30260.21</t>
  </si>
  <si>
    <t>29767.97</t>
  </si>
  <si>
    <t>29835.38</t>
  </si>
  <si>
    <t>7829924</t>
  </si>
  <si>
    <t>29986.41</t>
  </si>
  <si>
    <t>30043.04</t>
  </si>
  <si>
    <t>29641.24</t>
  </si>
  <si>
    <t>6925018</t>
  </si>
  <si>
    <t>29195.36</t>
  </si>
  <si>
    <t>29339.65</t>
  </si>
  <si>
    <t>28552.32</t>
  </si>
  <si>
    <t>29248.18</t>
  </si>
  <si>
    <t>7913812</t>
  </si>
  <si>
    <t>29328.1</t>
  </si>
  <si>
    <t>29370.85</t>
  </si>
  <si>
    <t>29028.9</t>
  </si>
  <si>
    <t>29140.98</t>
  </si>
  <si>
    <t>2634053</t>
  </si>
  <si>
    <t>29397.25</t>
  </si>
  <si>
    <t>29552.15</t>
  </si>
  <si>
    <t>29369.48</t>
  </si>
  <si>
    <t>29515.4</t>
  </si>
  <si>
    <t>4175371</t>
  </si>
  <si>
    <t>29586.75</t>
  </si>
  <si>
    <t>29318.47</t>
  </si>
  <si>
    <t>29371.5</t>
  </si>
  <si>
    <t>3348482</t>
  </si>
  <si>
    <t>29384.29</t>
  </si>
  <si>
    <t>29412.93</t>
  </si>
  <si>
    <t>28885.07</t>
  </si>
  <si>
    <t>29055.93</t>
  </si>
  <si>
    <t>4039114</t>
  </si>
  <si>
    <t>29050.55</t>
  </si>
  <si>
    <t>29055</t>
  </si>
  <si>
    <t>28737.77</t>
  </si>
  <si>
    <t>29017.61</t>
  </si>
  <si>
    <t>4491629</t>
  </si>
  <si>
    <t>29119.57</t>
  </si>
  <si>
    <t>29688.87</t>
  </si>
  <si>
    <t>29068.53</t>
  </si>
  <si>
    <t>29614.66</t>
  </si>
  <si>
    <t>2970690</t>
  </si>
  <si>
    <t>29830.1</t>
  </si>
  <si>
    <t>30017.03</t>
  </si>
  <si>
    <t>29748.59</t>
  </si>
  <si>
    <t>29908.97</t>
  </si>
  <si>
    <t>3899045</t>
  </si>
  <si>
    <t>29818.12</t>
  </si>
  <si>
    <t>29881.32</t>
  </si>
  <si>
    <t>29694.88</t>
  </si>
  <si>
    <t>2814596</t>
  </si>
  <si>
    <t>29972.99</t>
  </si>
  <si>
    <t>29990.69</t>
  </si>
  <si>
    <t>29670.13</t>
  </si>
  <si>
    <t>29749.2</t>
  </si>
  <si>
    <t>4566248</t>
  </si>
  <si>
    <t>30201.09</t>
  </si>
  <si>
    <t>30256.51</t>
  </si>
  <si>
    <t>30089.62</t>
  </si>
  <si>
    <t>30193.93</t>
  </si>
  <si>
    <t>6028642</t>
  </si>
  <si>
    <t>30274.36</t>
  </si>
  <si>
    <t>30300.36</t>
  </si>
  <si>
    <t>30062.63</t>
  </si>
  <si>
    <t>30152.13</t>
  </si>
  <si>
    <t>2834913</t>
  </si>
  <si>
    <t>30246.37</t>
  </si>
  <si>
    <t>30369.6</t>
  </si>
  <si>
    <t>30221.27</t>
  </si>
  <si>
    <t>30228.51</t>
  </si>
  <si>
    <t>4800504</t>
  </si>
  <si>
    <t>30323.67</t>
  </si>
  <si>
    <t>30393.35</t>
  </si>
  <si>
    <t>30175.91</t>
  </si>
  <si>
    <t>3066865</t>
  </si>
  <si>
    <t>30451.92</t>
  </si>
  <si>
    <t>30612.86</t>
  </si>
  <si>
    <t>30377.76</t>
  </si>
  <si>
    <t>4348563</t>
  </si>
  <si>
    <t>30690.43</t>
  </si>
  <si>
    <t>30832.5</t>
  </si>
  <si>
    <t>30646.66</t>
  </si>
  <si>
    <t>30832.47</t>
  </si>
  <si>
    <t>4806569</t>
  </si>
  <si>
    <t>30915.71</t>
  </si>
  <si>
    <t>30919.87</t>
  </si>
  <si>
    <t>30652.33</t>
  </si>
  <si>
    <t>30759.44</t>
  </si>
  <si>
    <t>3131422</t>
  </si>
  <si>
    <t>30863.28</t>
  </si>
  <si>
    <t>31184.95</t>
  </si>
  <si>
    <t>30793.68</t>
  </si>
  <si>
    <t>5950676</t>
  </si>
  <si>
    <t>31187.62</t>
  </si>
  <si>
    <t>31205.74</t>
  </si>
  <si>
    <t>31018.23</t>
  </si>
  <si>
    <t>31202.83</t>
  </si>
  <si>
    <t>4100251</t>
  </si>
  <si>
    <t>31254.28</t>
  </si>
  <si>
    <t>31323.94</t>
  </si>
  <si>
    <t>31172.98</t>
  </si>
  <si>
    <t>31295.94</t>
  </si>
  <si>
    <t>3442501</t>
  </si>
  <si>
    <t>31331.59</t>
  </si>
  <si>
    <t>31366.27</t>
  </si>
  <si>
    <t>31152.12</t>
  </si>
  <si>
    <t>31292.14</t>
  </si>
  <si>
    <t>3193919</t>
  </si>
  <si>
    <t>31321.17</t>
  </si>
  <si>
    <t>31335.33</t>
  </si>
  <si>
    <t>31065</t>
  </si>
  <si>
    <t>31222.28</t>
  </si>
  <si>
    <t>4568921</t>
  </si>
  <si>
    <t>31248.63</t>
  </si>
  <si>
    <t>31269.03</t>
  </si>
  <si>
    <t>31010.59</t>
  </si>
  <si>
    <t>31083.68</t>
  </si>
  <si>
    <t>2794583</t>
  </si>
  <si>
    <t>31130.75</t>
  </si>
  <si>
    <t>31182.23</t>
  </si>
  <si>
    <t>31009.59</t>
  </si>
  <si>
    <t>31070.16</t>
  </si>
  <si>
    <t>2962247</t>
  </si>
  <si>
    <t>31052.2</t>
  </si>
  <si>
    <t>31183.17</t>
  </si>
  <si>
    <t>30810.72</t>
  </si>
  <si>
    <t>30863.43</t>
  </si>
  <si>
    <t>2956342</t>
  </si>
  <si>
    <t>30870.09</t>
  </si>
  <si>
    <t>30925.63</t>
  </si>
  <si>
    <t>30778.51</t>
  </si>
  <si>
    <t>30875.73</t>
  </si>
  <si>
    <t>2711479</t>
  </si>
  <si>
    <t>30792.05</t>
  </si>
  <si>
    <t>30851.26</t>
  </si>
  <si>
    <t>30622.9</t>
  </si>
  <si>
    <t>30700.96</t>
  </si>
  <si>
    <t>2207459</t>
  </si>
  <si>
    <t>30770.16</t>
  </si>
  <si>
    <t>30882.51</t>
  </si>
  <si>
    <t>30557.24</t>
  </si>
  <si>
    <t>30704.55</t>
  </si>
  <si>
    <t>3754392</t>
  </si>
  <si>
    <t>30761.35</t>
  </si>
  <si>
    <t>30769</t>
  </si>
  <si>
    <t>30561.07</t>
  </si>
  <si>
    <t>30718.89</t>
  </si>
  <si>
    <t>2888737</t>
  </si>
  <si>
    <t>30869.19</t>
  </si>
  <si>
    <t>31269.09</t>
  </si>
  <si>
    <t>31200.46</t>
  </si>
  <si>
    <t>3164070</t>
  </si>
  <si>
    <t>31316.13</t>
  </si>
  <si>
    <t>31321.8</t>
  </si>
  <si>
    <t>31021.47</t>
  </si>
  <si>
    <t>3530503</t>
  </si>
  <si>
    <t>31134.07</t>
  </si>
  <si>
    <t>30859.14</t>
  </si>
  <si>
    <t>30908</t>
  </si>
  <si>
    <t>2212789</t>
  </si>
  <si>
    <t>31094.82</t>
  </si>
  <si>
    <t>31155.91</t>
  </si>
  <si>
    <t>30970.81</t>
  </si>
  <si>
    <t>31025.13</t>
  </si>
  <si>
    <t>2360782</t>
  </si>
  <si>
    <t>31064.62</t>
  </si>
  <si>
    <t>31076.18</t>
  </si>
  <si>
    <t>30673.78</t>
  </si>
  <si>
    <t>30722.35</t>
  </si>
  <si>
    <t>2215734</t>
  </si>
  <si>
    <t>30769.9</t>
  </si>
  <si>
    <t>30833.8</t>
  </si>
  <si>
    <t>30613.14</t>
  </si>
  <si>
    <t>2652877</t>
  </si>
  <si>
    <t>30848.4</t>
  </si>
  <si>
    <t>30962.45</t>
  </si>
  <si>
    <t>30786.16</t>
  </si>
  <si>
    <t>30898.43</t>
  </si>
  <si>
    <t>3264244</t>
  </si>
  <si>
    <t>30860.34</t>
  </si>
  <si>
    <t>30663.77</t>
  </si>
  <si>
    <t>30806.97</t>
  </si>
  <si>
    <t>3577732</t>
  </si>
  <si>
    <t>30843.19</t>
  </si>
  <si>
    <t>30850.85</t>
  </si>
  <si>
    <t>30682.27</t>
  </si>
  <si>
    <t>30801.75</t>
  </si>
  <si>
    <t>4852357</t>
  </si>
  <si>
    <t>30854.22</t>
  </si>
  <si>
    <t>31028.8</t>
  </si>
  <si>
    <t>30783.21</t>
  </si>
  <si>
    <t>30813.18</t>
  </si>
  <si>
    <t>5516146</t>
  </si>
  <si>
    <t>30932.82</t>
  </si>
  <si>
    <t>31093.85</t>
  </si>
  <si>
    <t>30869.47</t>
  </si>
  <si>
    <t>2949876</t>
  </si>
  <si>
    <t>31179.61</t>
  </si>
  <si>
    <t>31257.25</t>
  </si>
  <si>
    <t>31014.46</t>
  </si>
  <si>
    <t>31245.82</t>
  </si>
  <si>
    <t>3298074</t>
  </si>
  <si>
    <t>31325.16</t>
  </si>
  <si>
    <t>31636.6</t>
  </si>
  <si>
    <t>31193.63</t>
  </si>
  <si>
    <t>3026634</t>
  </si>
  <si>
    <t>31739.22</t>
  </si>
  <si>
    <t>32077.34</t>
  </si>
  <si>
    <t>31731.81</t>
  </si>
  <si>
    <t>31895.62</t>
  </si>
  <si>
    <t>4656813</t>
  </si>
  <si>
    <t>31948.83</t>
  </si>
  <si>
    <t>32065.66</t>
  </si>
  <si>
    <t>31831.38</t>
  </si>
  <si>
    <t>31908.66</t>
  </si>
  <si>
    <t>3718629</t>
  </si>
  <si>
    <t>31971.76</t>
  </si>
  <si>
    <t>31526.31</t>
  </si>
  <si>
    <t>31551.54</t>
  </si>
  <si>
    <t>3920409</t>
  </si>
  <si>
    <t>31513</t>
  </si>
  <si>
    <t>31746.03</t>
  </si>
  <si>
    <t>31426.18</t>
  </si>
  <si>
    <t>3582283.675925</t>
  </si>
  <si>
    <t>31939.85</t>
  </si>
  <si>
    <t>32328.85</t>
  </si>
  <si>
    <t>31838.92</t>
  </si>
  <si>
    <t>32168.91</t>
  </si>
  <si>
    <t>5132694</t>
  </si>
  <si>
    <t>32415.21</t>
  </si>
  <si>
    <t>32448.86</t>
  </si>
  <si>
    <t>32202.76</t>
  </si>
  <si>
    <t>32380.61</t>
  </si>
  <si>
    <t>6761860</t>
  </si>
  <si>
    <t>32380.95</t>
  </si>
  <si>
    <t>32635.25</t>
  </si>
  <si>
    <t>32220.99</t>
  </si>
  <si>
    <t>32283.9</t>
  </si>
  <si>
    <t>6654040</t>
  </si>
  <si>
    <t>Date</t>
  </si>
  <si>
    <t>mWIG40</t>
  </si>
  <si>
    <t>sWIG80</t>
  </si>
  <si>
    <t>USDPLN</t>
  </si>
  <si>
    <t>EURPLN</t>
  </si>
  <si>
    <t>GoldPLN</t>
  </si>
  <si>
    <t>Wig20</t>
  </si>
  <si>
    <t>Wig20 Daily return</t>
  </si>
  <si>
    <t>Wig20 Weekly return</t>
  </si>
  <si>
    <t>Wig20 MTD</t>
  </si>
  <si>
    <t>Wig20 Vol 20d</t>
  </si>
  <si>
    <t>Wig20 Peak</t>
  </si>
  <si>
    <t>Wig20 Drawdown</t>
  </si>
  <si>
    <t>mWig40</t>
  </si>
  <si>
    <t>mWig40 Daily return</t>
  </si>
  <si>
    <t>mWig40 Weekly return</t>
  </si>
  <si>
    <t>mWig40 MTD</t>
  </si>
  <si>
    <t>mWig40 Vol 20d</t>
  </si>
  <si>
    <t>mWig40 Peak</t>
  </si>
  <si>
    <t>mWig40 Drawdown</t>
  </si>
  <si>
    <t>sWig80</t>
  </si>
  <si>
    <t>sWig80 Daily return</t>
  </si>
  <si>
    <t>sWig80 Weekly return</t>
  </si>
  <si>
    <t>sWig80 MTD</t>
  </si>
  <si>
    <t>sWig80 Peak</t>
  </si>
  <si>
    <t>sWig80 Drawdown</t>
  </si>
  <si>
    <t>USDPLN Daily return</t>
  </si>
  <si>
    <t>USDPLN Weekly return</t>
  </si>
  <si>
    <t>USDPLN MTD</t>
  </si>
  <si>
    <t>USDPLN Vol 20d</t>
  </si>
  <si>
    <t>USDPLN Peak</t>
  </si>
  <si>
    <t>USDPLN Drawdown</t>
  </si>
  <si>
    <t>EURPLN Daily return</t>
  </si>
  <si>
    <t>EURPLN Weekly return</t>
  </si>
  <si>
    <t>EURPLN MTD</t>
  </si>
  <si>
    <t>EURPLN Vol 20d</t>
  </si>
  <si>
    <t>EURPLN Peak</t>
  </si>
  <si>
    <t>EURPLN Drawdown</t>
  </si>
  <si>
    <t>GoldPLN Daily return</t>
  </si>
  <si>
    <t>GoldPLN Weekly return</t>
  </si>
  <si>
    <t>GoldPLN MTD</t>
  </si>
  <si>
    <t>GoldPLN Vol 20d</t>
  </si>
  <si>
    <t>GoldPLN Peak</t>
  </si>
  <si>
    <t>GoldPLN Drawdown</t>
  </si>
  <si>
    <t>Instrument</t>
  </si>
  <si>
    <t>1D</t>
  </si>
  <si>
    <t>MTD</t>
  </si>
  <si>
    <t>Vol 20D</t>
  </si>
  <si>
    <t>Gold Pln</t>
  </si>
  <si>
    <t>sWig20 Vol 20d</t>
  </si>
  <si>
    <t>Spadek par walutowych oznacza umocnienie PLN, wzrost oznacza osłabienie PLN.</t>
  </si>
  <si>
    <t>SINCE 06.03</t>
  </si>
  <si>
    <t>Project: Poland Market Dashboard</t>
  </si>
  <si>
    <t>Purpose: Monitoring Polish equity indices, PLN exchange rates and gold prices.</t>
  </si>
  <si>
    <t>Data sources: GPW and NBP</t>
  </si>
  <si>
    <t>Frequency: Daily</t>
  </si>
  <si>
    <t>Tools: Excel, Power Query / NBP API</t>
  </si>
  <si>
    <t>Disclaimer: Educational project, not investment advice.</t>
  </si>
  <si>
    <t>WIG20_num</t>
  </si>
  <si>
    <t>5D</t>
  </si>
  <si>
    <t>Static market snapshot as of 02.06.2026.</t>
  </si>
  <si>
    <t>Metrics: 1D, 5D, MTD, return since 06.03, 20D volatility,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</si>
</sst>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0F1115"/>
      <name val="Aptos Narrow"/>
      <family val="2"/>
      <scheme val="minor"/>
    </font>
    <font>
      <sz val="1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2" borderId="1" xfId="0" applyFill="1" applyBorder="1"/>
    <xf numFmtId="14" fontId="0" fillId="2" borderId="1" xfId="0" applyNumberFormat="1" applyFill="1" applyBorder="1"/>
    <xf numFmtId="10" fontId="0" fillId="0" borderId="0" xfId="0" applyNumberFormat="1"/>
    <xf numFmtId="10" fontId="0" fillId="0" borderId="3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10" fontId="0" fillId="0" borderId="2" xfId="0" applyNumberFormat="1" applyBorder="1"/>
    <xf numFmtId="0" fontId="0" fillId="0" borderId="2" xfId="0" applyBorder="1"/>
    <xf numFmtId="10" fontId="1" fillId="0" borderId="0" xfId="0" applyNumberFormat="1" applyFont="1" applyAlignment="1">
      <alignment horizontal="right" vertical="center" indent="1"/>
    </xf>
    <xf numFmtId="2" fontId="0" fillId="0" borderId="0" xfId="0" applyNumberFormat="1"/>
    <xf numFmtId="0" fontId="2" fillId="0" borderId="0" xfId="0" applyFont="1"/>
  </cellXfs>
  <cellStyles count="1">
    <cellStyle name="Normalny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Returns!$K$4</c:f>
              <c:strCache>
                <c:ptCount val="1"/>
                <c:pt idx="0">
                  <c:v>Wig20 Vol 20d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Returns!$F$25:$F$64</c:f>
              <c:numCache>
                <c:formatCode>m/d/yyyy</c:formatCode>
                <c:ptCount val="40"/>
                <c:pt idx="0">
                  <c:v>46119</c:v>
                </c:pt>
                <c:pt idx="1">
                  <c:v>46120</c:v>
                </c:pt>
                <c:pt idx="2">
                  <c:v>46121</c:v>
                </c:pt>
                <c:pt idx="3">
                  <c:v>46122</c:v>
                </c:pt>
                <c:pt idx="4">
                  <c:v>46125</c:v>
                </c:pt>
                <c:pt idx="5">
                  <c:v>46126</c:v>
                </c:pt>
                <c:pt idx="6">
                  <c:v>46127</c:v>
                </c:pt>
                <c:pt idx="7">
                  <c:v>46128</c:v>
                </c:pt>
                <c:pt idx="8">
                  <c:v>46129</c:v>
                </c:pt>
                <c:pt idx="9">
                  <c:v>46132</c:v>
                </c:pt>
                <c:pt idx="10">
                  <c:v>46133</c:v>
                </c:pt>
                <c:pt idx="11">
                  <c:v>46134</c:v>
                </c:pt>
                <c:pt idx="12">
                  <c:v>46135</c:v>
                </c:pt>
                <c:pt idx="13">
                  <c:v>46136</c:v>
                </c:pt>
                <c:pt idx="14">
                  <c:v>46139</c:v>
                </c:pt>
                <c:pt idx="15">
                  <c:v>46140</c:v>
                </c:pt>
                <c:pt idx="16">
                  <c:v>46141</c:v>
                </c:pt>
                <c:pt idx="17">
                  <c:v>46142</c:v>
                </c:pt>
                <c:pt idx="18">
                  <c:v>46146</c:v>
                </c:pt>
                <c:pt idx="19">
                  <c:v>46147</c:v>
                </c:pt>
                <c:pt idx="20">
                  <c:v>46148</c:v>
                </c:pt>
                <c:pt idx="21">
                  <c:v>46149</c:v>
                </c:pt>
                <c:pt idx="22">
                  <c:v>46150</c:v>
                </c:pt>
                <c:pt idx="23">
                  <c:v>46153</c:v>
                </c:pt>
                <c:pt idx="24">
                  <c:v>46154</c:v>
                </c:pt>
                <c:pt idx="25">
                  <c:v>46155</c:v>
                </c:pt>
                <c:pt idx="26">
                  <c:v>46156</c:v>
                </c:pt>
                <c:pt idx="27">
                  <c:v>46157</c:v>
                </c:pt>
                <c:pt idx="28">
                  <c:v>46160</c:v>
                </c:pt>
                <c:pt idx="29">
                  <c:v>46161</c:v>
                </c:pt>
                <c:pt idx="30">
                  <c:v>46162</c:v>
                </c:pt>
                <c:pt idx="31">
                  <c:v>46163</c:v>
                </c:pt>
                <c:pt idx="32">
                  <c:v>46164</c:v>
                </c:pt>
                <c:pt idx="33">
                  <c:v>46167</c:v>
                </c:pt>
                <c:pt idx="34">
                  <c:v>46168</c:v>
                </c:pt>
                <c:pt idx="35">
                  <c:v>46169</c:v>
                </c:pt>
                <c:pt idx="36">
                  <c:v>46170</c:v>
                </c:pt>
                <c:pt idx="37">
                  <c:v>46171</c:v>
                </c:pt>
                <c:pt idx="38">
                  <c:v>46174</c:v>
                </c:pt>
                <c:pt idx="39">
                  <c:v>46175</c:v>
                </c:pt>
              </c:numCache>
            </c:numRef>
          </c:cat>
          <c:val>
            <c:numRef>
              <c:f>Returns!$K$25:$K$64</c:f>
              <c:numCache>
                <c:formatCode>0.00%</c:formatCode>
                <c:ptCount val="40"/>
                <c:pt idx="0">
                  <c:v>0.19452752320370686</c:v>
                </c:pt>
                <c:pt idx="1">
                  <c:v>0.22418262074450945</c:v>
                </c:pt>
                <c:pt idx="2">
                  <c:v>0.2146005356625667</c:v>
                </c:pt>
                <c:pt idx="3">
                  <c:v>0.21487805523917142</c:v>
                </c:pt>
                <c:pt idx="4">
                  <c:v>0.21188277510000478</c:v>
                </c:pt>
                <c:pt idx="5">
                  <c:v>0.21001088242644486</c:v>
                </c:pt>
                <c:pt idx="6">
                  <c:v>0.21022889605234343</c:v>
                </c:pt>
                <c:pt idx="7">
                  <c:v>0.20518169276604209</c:v>
                </c:pt>
                <c:pt idx="8">
                  <c:v>0.20389429945009024</c:v>
                </c:pt>
                <c:pt idx="9">
                  <c:v>0.19182508551599975</c:v>
                </c:pt>
                <c:pt idx="10">
                  <c:v>0.19052991266035946</c:v>
                </c:pt>
                <c:pt idx="11">
                  <c:v>0.19555513478742156</c:v>
                </c:pt>
                <c:pt idx="12">
                  <c:v>0.19751639149012787</c:v>
                </c:pt>
                <c:pt idx="13">
                  <c:v>0.19071630842812315</c:v>
                </c:pt>
                <c:pt idx="14">
                  <c:v>0.19421571481388436</c:v>
                </c:pt>
                <c:pt idx="15">
                  <c:v>0.19072515516002542</c:v>
                </c:pt>
                <c:pt idx="16">
                  <c:v>0.19099255066038182</c:v>
                </c:pt>
                <c:pt idx="17">
                  <c:v>0.18512327033417364</c:v>
                </c:pt>
                <c:pt idx="18">
                  <c:v>0.17471441315210817</c:v>
                </c:pt>
                <c:pt idx="19">
                  <c:v>0.17585932004580096</c:v>
                </c:pt>
                <c:pt idx="20">
                  <c:v>0.19812744326052656</c:v>
                </c:pt>
                <c:pt idx="21">
                  <c:v>0.1653807590013561</c:v>
                </c:pt>
                <c:pt idx="22">
                  <c:v>0.17472021782197333</c:v>
                </c:pt>
                <c:pt idx="23">
                  <c:v>0.17652163050834069</c:v>
                </c:pt>
                <c:pt idx="24">
                  <c:v>0.18865728417006508</c:v>
                </c:pt>
                <c:pt idx="25">
                  <c:v>0.1997230455991218</c:v>
                </c:pt>
                <c:pt idx="26">
                  <c:v>0.20161343322045858</c:v>
                </c:pt>
                <c:pt idx="27">
                  <c:v>0.21772279014260057</c:v>
                </c:pt>
                <c:pt idx="28">
                  <c:v>0.22217635892143731</c:v>
                </c:pt>
                <c:pt idx="29">
                  <c:v>0.22671036464801916</c:v>
                </c:pt>
                <c:pt idx="30">
                  <c:v>0.23411345224238045</c:v>
                </c:pt>
                <c:pt idx="31">
                  <c:v>0.23380363902700166</c:v>
                </c:pt>
                <c:pt idx="32">
                  <c:v>0.23610480414609297</c:v>
                </c:pt>
                <c:pt idx="33">
                  <c:v>0.24533798324655273</c:v>
                </c:pt>
                <c:pt idx="34">
                  <c:v>0.24669911386118351</c:v>
                </c:pt>
                <c:pt idx="35">
                  <c:v>0.24474552945876976</c:v>
                </c:pt>
                <c:pt idx="36">
                  <c:v>0.24484713897634786</c:v>
                </c:pt>
                <c:pt idx="37">
                  <c:v>0.24354834996014318</c:v>
                </c:pt>
                <c:pt idx="38">
                  <c:v>0.251837517987268</c:v>
                </c:pt>
                <c:pt idx="39">
                  <c:v>0.25161997205750319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B-4CE0-AAB3-5458114E1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198352"/>
        <c:axId val="524197872"/>
      </c:lineChart>
      <c:dateAx>
        <c:axId val="52419835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4197872"/>
        <c:crosses val="autoZero"/>
        <c:auto val="1"/>
        <c:lblOffset val="100"/>
        <c:baseTimeUnit val="days"/>
      </c:dateAx>
      <c:valAx>
        <c:axId val="52419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419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WIG20</a:t>
            </a:r>
            <a:r>
              <a:rPr lang="pl-PL"/>
              <a:t> - last 3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Clean_Data!$H$3</c:f>
              <c:strCache>
                <c:ptCount val="1"/>
                <c:pt idx="0">
                  <c:v>WIG20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Clean_Data!$G$4:$G$63</c:f>
              <c:numCache>
                <c:formatCode>m/d/yyyy</c:formatCode>
                <c:ptCount val="60"/>
                <c:pt idx="0">
                  <c:v>46087</c:v>
                </c:pt>
                <c:pt idx="1">
                  <c:v>46090</c:v>
                </c:pt>
                <c:pt idx="2">
                  <c:v>46091</c:v>
                </c:pt>
                <c:pt idx="3">
                  <c:v>46092</c:v>
                </c:pt>
                <c:pt idx="4">
                  <c:v>46093</c:v>
                </c:pt>
                <c:pt idx="5">
                  <c:v>46094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46104</c:v>
                </c:pt>
                <c:pt idx="12">
                  <c:v>46105</c:v>
                </c:pt>
                <c:pt idx="13">
                  <c:v>46106</c:v>
                </c:pt>
                <c:pt idx="14">
                  <c:v>46107</c:v>
                </c:pt>
                <c:pt idx="15">
                  <c:v>46108</c:v>
                </c:pt>
                <c:pt idx="16">
                  <c:v>46111</c:v>
                </c:pt>
                <c:pt idx="17">
                  <c:v>46112</c:v>
                </c:pt>
                <c:pt idx="18">
                  <c:v>46113</c:v>
                </c:pt>
                <c:pt idx="19">
                  <c:v>46114</c:v>
                </c:pt>
                <c:pt idx="20">
                  <c:v>46119</c:v>
                </c:pt>
                <c:pt idx="21">
                  <c:v>46120</c:v>
                </c:pt>
                <c:pt idx="22">
                  <c:v>46121</c:v>
                </c:pt>
                <c:pt idx="23">
                  <c:v>46122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46132</c:v>
                </c:pt>
                <c:pt idx="30">
                  <c:v>46133</c:v>
                </c:pt>
                <c:pt idx="31">
                  <c:v>46134</c:v>
                </c:pt>
                <c:pt idx="32">
                  <c:v>46135</c:v>
                </c:pt>
                <c:pt idx="33">
                  <c:v>46136</c:v>
                </c:pt>
                <c:pt idx="34">
                  <c:v>46139</c:v>
                </c:pt>
                <c:pt idx="35">
                  <c:v>46140</c:v>
                </c:pt>
                <c:pt idx="36">
                  <c:v>46141</c:v>
                </c:pt>
                <c:pt idx="37">
                  <c:v>46142</c:v>
                </c:pt>
                <c:pt idx="38">
                  <c:v>46146</c:v>
                </c:pt>
                <c:pt idx="39">
                  <c:v>46147</c:v>
                </c:pt>
                <c:pt idx="40">
                  <c:v>46148</c:v>
                </c:pt>
                <c:pt idx="41">
                  <c:v>46149</c:v>
                </c:pt>
                <c:pt idx="42">
                  <c:v>46150</c:v>
                </c:pt>
                <c:pt idx="43">
                  <c:v>46153</c:v>
                </c:pt>
                <c:pt idx="44">
                  <c:v>46154</c:v>
                </c:pt>
                <c:pt idx="45">
                  <c:v>46155</c:v>
                </c:pt>
                <c:pt idx="46">
                  <c:v>46156</c:v>
                </c:pt>
                <c:pt idx="47">
                  <c:v>46157</c:v>
                </c:pt>
                <c:pt idx="48">
                  <c:v>46160</c:v>
                </c:pt>
                <c:pt idx="49">
                  <c:v>46161</c:v>
                </c:pt>
                <c:pt idx="50">
                  <c:v>46162</c:v>
                </c:pt>
                <c:pt idx="51">
                  <c:v>46163</c:v>
                </c:pt>
                <c:pt idx="52">
                  <c:v>46164</c:v>
                </c:pt>
                <c:pt idx="53">
                  <c:v>46167</c:v>
                </c:pt>
                <c:pt idx="54">
                  <c:v>46168</c:v>
                </c:pt>
                <c:pt idx="55">
                  <c:v>46169</c:v>
                </c:pt>
                <c:pt idx="56">
                  <c:v>46170</c:v>
                </c:pt>
                <c:pt idx="57">
                  <c:v>46171</c:v>
                </c:pt>
                <c:pt idx="58">
                  <c:v>46174</c:v>
                </c:pt>
                <c:pt idx="59">
                  <c:v>46175</c:v>
                </c:pt>
              </c:numCache>
            </c:numRef>
          </c:cat>
          <c:val>
            <c:numRef>
              <c:f>Clean_Data!$O$4:$O$63</c:f>
              <c:numCache>
                <c:formatCode>General</c:formatCode>
                <c:ptCount val="60"/>
                <c:pt idx="0">
                  <c:v>3262.33</c:v>
                </c:pt>
                <c:pt idx="1">
                  <c:v>3256.8</c:v>
                </c:pt>
                <c:pt idx="2">
                  <c:v>3327.28</c:v>
                </c:pt>
                <c:pt idx="3">
                  <c:v>3312.71</c:v>
                </c:pt>
                <c:pt idx="4">
                  <c:v>3291.27</c:v>
                </c:pt>
                <c:pt idx="5">
                  <c:v>3274.54</c:v>
                </c:pt>
                <c:pt idx="6">
                  <c:v>3292.46</c:v>
                </c:pt>
                <c:pt idx="7">
                  <c:v>3359.96</c:v>
                </c:pt>
                <c:pt idx="8">
                  <c:v>3338.2</c:v>
                </c:pt>
                <c:pt idx="9">
                  <c:v>3276.57</c:v>
                </c:pt>
                <c:pt idx="10">
                  <c:v>3248.12</c:v>
                </c:pt>
                <c:pt idx="11">
                  <c:v>3268.15</c:v>
                </c:pt>
                <c:pt idx="12">
                  <c:v>3241.42</c:v>
                </c:pt>
                <c:pt idx="13">
                  <c:v>3312.41</c:v>
                </c:pt>
                <c:pt idx="14">
                  <c:v>3306.6</c:v>
                </c:pt>
                <c:pt idx="15">
                  <c:v>3268.55</c:v>
                </c:pt>
                <c:pt idx="16">
                  <c:v>3283.06</c:v>
                </c:pt>
                <c:pt idx="17">
                  <c:v>3340.77</c:v>
                </c:pt>
                <c:pt idx="18">
                  <c:v>3402.92</c:v>
                </c:pt>
                <c:pt idx="19">
                  <c:v>3433.65</c:v>
                </c:pt>
                <c:pt idx="20">
                  <c:v>3416.8</c:v>
                </c:pt>
                <c:pt idx="21">
                  <c:v>3533.95</c:v>
                </c:pt>
                <c:pt idx="22">
                  <c:v>3552.48</c:v>
                </c:pt>
                <c:pt idx="23">
                  <c:v>3596.84</c:v>
                </c:pt>
                <c:pt idx="24">
                  <c:v>3596.03</c:v>
                </c:pt>
                <c:pt idx="25">
                  <c:v>3636.72</c:v>
                </c:pt>
                <c:pt idx="26">
                  <c:v>3665.94</c:v>
                </c:pt>
                <c:pt idx="27">
                  <c:v>3649.5</c:v>
                </c:pt>
                <c:pt idx="28">
                  <c:v>3700.6</c:v>
                </c:pt>
                <c:pt idx="29">
                  <c:v>3666.86</c:v>
                </c:pt>
                <c:pt idx="30">
                  <c:v>3640</c:v>
                </c:pt>
                <c:pt idx="31">
                  <c:v>3615.77</c:v>
                </c:pt>
                <c:pt idx="32">
                  <c:v>3578.84</c:v>
                </c:pt>
                <c:pt idx="33">
                  <c:v>3556.91</c:v>
                </c:pt>
                <c:pt idx="34">
                  <c:v>3528.9</c:v>
                </c:pt>
                <c:pt idx="35">
                  <c:v>3502.06</c:v>
                </c:pt>
                <c:pt idx="36">
                  <c:v>3503.71</c:v>
                </c:pt>
                <c:pt idx="37">
                  <c:v>3487.99</c:v>
                </c:pt>
                <c:pt idx="38">
                  <c:v>3491.84</c:v>
                </c:pt>
                <c:pt idx="39">
                  <c:v>3529.57</c:v>
                </c:pt>
                <c:pt idx="40">
                  <c:v>3629.57</c:v>
                </c:pt>
                <c:pt idx="41">
                  <c:v>3592.99</c:v>
                </c:pt>
                <c:pt idx="42">
                  <c:v>3535.94</c:v>
                </c:pt>
                <c:pt idx="43">
                  <c:v>3586.34</c:v>
                </c:pt>
                <c:pt idx="44">
                  <c:v>3518.79</c:v>
                </c:pt>
                <c:pt idx="45">
                  <c:v>3592.36</c:v>
                </c:pt>
                <c:pt idx="46">
                  <c:v>3631.56</c:v>
                </c:pt>
                <c:pt idx="47">
                  <c:v>3545.38</c:v>
                </c:pt>
                <c:pt idx="48">
                  <c:v>3610.09</c:v>
                </c:pt>
                <c:pt idx="49">
                  <c:v>3552.49</c:v>
                </c:pt>
                <c:pt idx="50">
                  <c:v>3610.7</c:v>
                </c:pt>
                <c:pt idx="51">
                  <c:v>3590</c:v>
                </c:pt>
                <c:pt idx="52">
                  <c:v>3641.19</c:v>
                </c:pt>
                <c:pt idx="53">
                  <c:v>3719.68</c:v>
                </c:pt>
                <c:pt idx="54">
                  <c:v>3682.07</c:v>
                </c:pt>
                <c:pt idx="55">
                  <c:v>3671.65</c:v>
                </c:pt>
                <c:pt idx="56">
                  <c:v>3670.49</c:v>
                </c:pt>
                <c:pt idx="57">
                  <c:v>3686.96</c:v>
                </c:pt>
                <c:pt idx="58">
                  <c:v>3631.04</c:v>
                </c:pt>
                <c:pt idx="59">
                  <c:v>3668.51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3-47B3-9380-C40044EBF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893952"/>
        <c:axId val="974895392"/>
      </c:lineChart>
      <c:dateAx>
        <c:axId val="97489395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74895392"/>
        <c:crosses val="autoZero"/>
        <c:auto val="1"/>
        <c:lblOffset val="100"/>
        <c:baseTimeUnit val="days"/>
      </c:dateAx>
      <c:valAx>
        <c:axId val="97489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7489395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USD</a:t>
            </a:r>
            <a:r>
              <a:rPr lang="pl-PL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/PLN</a:t>
            </a:r>
            <a:r>
              <a:rPr lang="pl-PL" baseline="0"/>
              <a:t> i EUR</a:t>
            </a:r>
            <a:r>
              <a:rPr lang="pl-PL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/PLN</a:t>
            </a:r>
            <a:r>
              <a:rPr lang="pl-PL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Clean_Data!$K$3</c:f>
              <c:strCache>
                <c:ptCount val="1"/>
                <c:pt idx="0">
                  <c:v>USDPLN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Clean_Data!$G$4:$G$63</c:f>
              <c:numCache>
                <c:formatCode>m/d/yyyy</c:formatCode>
                <c:ptCount val="60"/>
                <c:pt idx="0">
                  <c:v>46087</c:v>
                </c:pt>
                <c:pt idx="1">
                  <c:v>46090</c:v>
                </c:pt>
                <c:pt idx="2">
                  <c:v>46091</c:v>
                </c:pt>
                <c:pt idx="3">
                  <c:v>46092</c:v>
                </c:pt>
                <c:pt idx="4">
                  <c:v>46093</c:v>
                </c:pt>
                <c:pt idx="5">
                  <c:v>46094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46104</c:v>
                </c:pt>
                <c:pt idx="12">
                  <c:v>46105</c:v>
                </c:pt>
                <c:pt idx="13">
                  <c:v>46106</c:v>
                </c:pt>
                <c:pt idx="14">
                  <c:v>46107</c:v>
                </c:pt>
                <c:pt idx="15">
                  <c:v>46108</c:v>
                </c:pt>
                <c:pt idx="16">
                  <c:v>46111</c:v>
                </c:pt>
                <c:pt idx="17">
                  <c:v>46112</c:v>
                </c:pt>
                <c:pt idx="18">
                  <c:v>46113</c:v>
                </c:pt>
                <c:pt idx="19">
                  <c:v>46114</c:v>
                </c:pt>
                <c:pt idx="20">
                  <c:v>46119</c:v>
                </c:pt>
                <c:pt idx="21">
                  <c:v>46120</c:v>
                </c:pt>
                <c:pt idx="22">
                  <c:v>46121</c:v>
                </c:pt>
                <c:pt idx="23">
                  <c:v>46122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46132</c:v>
                </c:pt>
                <c:pt idx="30">
                  <c:v>46133</c:v>
                </c:pt>
                <c:pt idx="31">
                  <c:v>46134</c:v>
                </c:pt>
                <c:pt idx="32">
                  <c:v>46135</c:v>
                </c:pt>
                <c:pt idx="33">
                  <c:v>46136</c:v>
                </c:pt>
                <c:pt idx="34">
                  <c:v>46139</c:v>
                </c:pt>
                <c:pt idx="35">
                  <c:v>46140</c:v>
                </c:pt>
                <c:pt idx="36">
                  <c:v>46141</c:v>
                </c:pt>
                <c:pt idx="37">
                  <c:v>46142</c:v>
                </c:pt>
                <c:pt idx="38">
                  <c:v>46146</c:v>
                </c:pt>
                <c:pt idx="39">
                  <c:v>46147</c:v>
                </c:pt>
                <c:pt idx="40">
                  <c:v>46148</c:v>
                </c:pt>
                <c:pt idx="41">
                  <c:v>46149</c:v>
                </c:pt>
                <c:pt idx="42">
                  <c:v>46150</c:v>
                </c:pt>
                <c:pt idx="43">
                  <c:v>46153</c:v>
                </c:pt>
                <c:pt idx="44">
                  <c:v>46154</c:v>
                </c:pt>
                <c:pt idx="45">
                  <c:v>46155</c:v>
                </c:pt>
                <c:pt idx="46">
                  <c:v>46156</c:v>
                </c:pt>
                <c:pt idx="47">
                  <c:v>46157</c:v>
                </c:pt>
                <c:pt idx="48">
                  <c:v>46160</c:v>
                </c:pt>
                <c:pt idx="49">
                  <c:v>46161</c:v>
                </c:pt>
                <c:pt idx="50">
                  <c:v>46162</c:v>
                </c:pt>
                <c:pt idx="51">
                  <c:v>46163</c:v>
                </c:pt>
                <c:pt idx="52">
                  <c:v>46164</c:v>
                </c:pt>
                <c:pt idx="53">
                  <c:v>46167</c:v>
                </c:pt>
                <c:pt idx="54">
                  <c:v>46168</c:v>
                </c:pt>
                <c:pt idx="55">
                  <c:v>46169</c:v>
                </c:pt>
                <c:pt idx="56">
                  <c:v>46170</c:v>
                </c:pt>
                <c:pt idx="57">
                  <c:v>46171</c:v>
                </c:pt>
                <c:pt idx="58">
                  <c:v>46174</c:v>
                </c:pt>
                <c:pt idx="59">
                  <c:v>46175</c:v>
                </c:pt>
              </c:numCache>
            </c:numRef>
          </c:cat>
          <c:val>
            <c:numRef>
              <c:f>Clean_Data!$K$4:$K$63</c:f>
              <c:numCache>
                <c:formatCode>General</c:formatCode>
                <c:ptCount val="60"/>
                <c:pt idx="0">
                  <c:v>3.6962000000000002</c:v>
                </c:pt>
                <c:pt idx="1">
                  <c:v>3.7075</c:v>
                </c:pt>
                <c:pt idx="2">
                  <c:v>3.6522999999999999</c:v>
                </c:pt>
                <c:pt idx="3">
                  <c:v>3.6869999999999998</c:v>
                </c:pt>
                <c:pt idx="4">
                  <c:v>3.6878000000000002</c:v>
                </c:pt>
                <c:pt idx="5">
                  <c:v>3.7277</c:v>
                </c:pt>
                <c:pt idx="6">
                  <c:v>3.7286999999999999</c:v>
                </c:pt>
                <c:pt idx="7">
                  <c:v>3.7046000000000001</c:v>
                </c:pt>
                <c:pt idx="8">
                  <c:v>3.6930000000000001</c:v>
                </c:pt>
                <c:pt idx="9">
                  <c:v>3.7269999999999999</c:v>
                </c:pt>
                <c:pt idx="10">
                  <c:v>3.7031999999999998</c:v>
                </c:pt>
                <c:pt idx="11">
                  <c:v>3.7292000000000001</c:v>
                </c:pt>
                <c:pt idx="12">
                  <c:v>3.6850000000000001</c:v>
                </c:pt>
                <c:pt idx="13">
                  <c:v>3.6802999999999999</c:v>
                </c:pt>
                <c:pt idx="14">
                  <c:v>3.6947999999999999</c:v>
                </c:pt>
                <c:pt idx="15">
                  <c:v>3.7206000000000001</c:v>
                </c:pt>
                <c:pt idx="16">
                  <c:v>3.7256999999999998</c:v>
                </c:pt>
                <c:pt idx="17">
                  <c:v>3.7408000000000001</c:v>
                </c:pt>
                <c:pt idx="18">
                  <c:v>3.6972</c:v>
                </c:pt>
                <c:pt idx="19">
                  <c:v>3.7195</c:v>
                </c:pt>
                <c:pt idx="20">
                  <c:v>3.6888000000000001</c:v>
                </c:pt>
                <c:pt idx="21">
                  <c:v>3.6488999999999998</c:v>
                </c:pt>
                <c:pt idx="22">
                  <c:v>3.6505999999999998</c:v>
                </c:pt>
                <c:pt idx="23">
                  <c:v>3.6396000000000002</c:v>
                </c:pt>
                <c:pt idx="24">
                  <c:v>3.6374</c:v>
                </c:pt>
                <c:pt idx="25">
                  <c:v>3.6015000000000001</c:v>
                </c:pt>
                <c:pt idx="26">
                  <c:v>3.5939000000000001</c:v>
                </c:pt>
                <c:pt idx="27">
                  <c:v>3.5983000000000001</c:v>
                </c:pt>
                <c:pt idx="28">
                  <c:v>3.5912000000000002</c:v>
                </c:pt>
                <c:pt idx="29">
                  <c:v>3.6004999999999998</c:v>
                </c:pt>
                <c:pt idx="30">
                  <c:v>3.597</c:v>
                </c:pt>
                <c:pt idx="31">
                  <c:v>3.6080000000000001</c:v>
                </c:pt>
                <c:pt idx="32">
                  <c:v>3.6320999999999999</c:v>
                </c:pt>
                <c:pt idx="33">
                  <c:v>3.6294</c:v>
                </c:pt>
                <c:pt idx="34">
                  <c:v>3.613</c:v>
                </c:pt>
                <c:pt idx="35">
                  <c:v>3.6293000000000002</c:v>
                </c:pt>
                <c:pt idx="36">
                  <c:v>3.6356000000000002</c:v>
                </c:pt>
                <c:pt idx="37">
                  <c:v>3.6459999999999999</c:v>
                </c:pt>
                <c:pt idx="38">
                  <c:v>3.6303000000000001</c:v>
                </c:pt>
                <c:pt idx="39">
                  <c:v>3.6402999999999999</c:v>
                </c:pt>
                <c:pt idx="40">
                  <c:v>3.6004999999999998</c:v>
                </c:pt>
                <c:pt idx="41">
                  <c:v>3.5920999999999998</c:v>
                </c:pt>
                <c:pt idx="42">
                  <c:v>3.5947</c:v>
                </c:pt>
                <c:pt idx="43">
                  <c:v>3.6006999999999998</c:v>
                </c:pt>
                <c:pt idx="44">
                  <c:v>3.6166999999999998</c:v>
                </c:pt>
                <c:pt idx="45">
                  <c:v>3.6335999999999999</c:v>
                </c:pt>
                <c:pt idx="46">
                  <c:v>3.6204999999999998</c:v>
                </c:pt>
                <c:pt idx="47">
                  <c:v>3.6524999999999999</c:v>
                </c:pt>
                <c:pt idx="48">
                  <c:v>3.6450999999999998</c:v>
                </c:pt>
                <c:pt idx="49">
                  <c:v>3.6467000000000001</c:v>
                </c:pt>
                <c:pt idx="50">
                  <c:v>3.6709000000000001</c:v>
                </c:pt>
                <c:pt idx="51">
                  <c:v>3.6528999999999998</c:v>
                </c:pt>
                <c:pt idx="52">
                  <c:v>3.6570999999999998</c:v>
                </c:pt>
                <c:pt idx="53">
                  <c:v>3.6374</c:v>
                </c:pt>
                <c:pt idx="54">
                  <c:v>3.6394000000000002</c:v>
                </c:pt>
                <c:pt idx="55">
                  <c:v>3.6404000000000001</c:v>
                </c:pt>
                <c:pt idx="56">
                  <c:v>3.6463000000000001</c:v>
                </c:pt>
                <c:pt idx="57">
                  <c:v>3.6395</c:v>
                </c:pt>
                <c:pt idx="58">
                  <c:v>3.6318999999999999</c:v>
                </c:pt>
                <c:pt idx="59">
                  <c:v>3.6358000000000001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11-4593-8540-ECCC9AE097A1}"/>
            </c:ext>
          </c:extLst>
        </c:ser>
        <c:ser>
          <c:idx val="1"/>
          <c:order val="1"/>
          <c:tx>
            <c:strRef>
              <c:f>Clean_Data!$L$3</c:f>
              <c:strCache>
                <c:ptCount val="1"/>
                <c:pt idx="0">
                  <c:v>EURPLN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Clean_Data!$G$4:$G$63</c:f>
              <c:numCache>
                <c:formatCode>m/d/yyyy</c:formatCode>
                <c:ptCount val="60"/>
                <c:pt idx="0">
                  <c:v>46087</c:v>
                </c:pt>
                <c:pt idx="1">
                  <c:v>46090</c:v>
                </c:pt>
                <c:pt idx="2">
                  <c:v>46091</c:v>
                </c:pt>
                <c:pt idx="3">
                  <c:v>46092</c:v>
                </c:pt>
                <c:pt idx="4">
                  <c:v>46093</c:v>
                </c:pt>
                <c:pt idx="5">
                  <c:v>46094</c:v>
                </c:pt>
                <c:pt idx="6">
                  <c:v>46097</c:v>
                </c:pt>
                <c:pt idx="7">
                  <c:v>46098</c:v>
                </c:pt>
                <c:pt idx="8">
                  <c:v>46099</c:v>
                </c:pt>
                <c:pt idx="9">
                  <c:v>46100</c:v>
                </c:pt>
                <c:pt idx="10">
                  <c:v>46101</c:v>
                </c:pt>
                <c:pt idx="11">
                  <c:v>46104</c:v>
                </c:pt>
                <c:pt idx="12">
                  <c:v>46105</c:v>
                </c:pt>
                <c:pt idx="13">
                  <c:v>46106</c:v>
                </c:pt>
                <c:pt idx="14">
                  <c:v>46107</c:v>
                </c:pt>
                <c:pt idx="15">
                  <c:v>46108</c:v>
                </c:pt>
                <c:pt idx="16">
                  <c:v>46111</c:v>
                </c:pt>
                <c:pt idx="17">
                  <c:v>46112</c:v>
                </c:pt>
                <c:pt idx="18">
                  <c:v>46113</c:v>
                </c:pt>
                <c:pt idx="19">
                  <c:v>46114</c:v>
                </c:pt>
                <c:pt idx="20">
                  <c:v>46119</c:v>
                </c:pt>
                <c:pt idx="21">
                  <c:v>46120</c:v>
                </c:pt>
                <c:pt idx="22">
                  <c:v>46121</c:v>
                </c:pt>
                <c:pt idx="23">
                  <c:v>46122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46132</c:v>
                </c:pt>
                <c:pt idx="30">
                  <c:v>46133</c:v>
                </c:pt>
                <c:pt idx="31">
                  <c:v>46134</c:v>
                </c:pt>
                <c:pt idx="32">
                  <c:v>46135</c:v>
                </c:pt>
                <c:pt idx="33">
                  <c:v>46136</c:v>
                </c:pt>
                <c:pt idx="34">
                  <c:v>46139</c:v>
                </c:pt>
                <c:pt idx="35">
                  <c:v>46140</c:v>
                </c:pt>
                <c:pt idx="36">
                  <c:v>46141</c:v>
                </c:pt>
                <c:pt idx="37">
                  <c:v>46142</c:v>
                </c:pt>
                <c:pt idx="38">
                  <c:v>46146</c:v>
                </c:pt>
                <c:pt idx="39">
                  <c:v>46147</c:v>
                </c:pt>
                <c:pt idx="40">
                  <c:v>46148</c:v>
                </c:pt>
                <c:pt idx="41">
                  <c:v>46149</c:v>
                </c:pt>
                <c:pt idx="42">
                  <c:v>46150</c:v>
                </c:pt>
                <c:pt idx="43">
                  <c:v>46153</c:v>
                </c:pt>
                <c:pt idx="44">
                  <c:v>46154</c:v>
                </c:pt>
                <c:pt idx="45">
                  <c:v>46155</c:v>
                </c:pt>
                <c:pt idx="46">
                  <c:v>46156</c:v>
                </c:pt>
                <c:pt idx="47">
                  <c:v>46157</c:v>
                </c:pt>
                <c:pt idx="48">
                  <c:v>46160</c:v>
                </c:pt>
                <c:pt idx="49">
                  <c:v>46161</c:v>
                </c:pt>
                <c:pt idx="50">
                  <c:v>46162</c:v>
                </c:pt>
                <c:pt idx="51">
                  <c:v>46163</c:v>
                </c:pt>
                <c:pt idx="52">
                  <c:v>46164</c:v>
                </c:pt>
                <c:pt idx="53">
                  <c:v>46167</c:v>
                </c:pt>
                <c:pt idx="54">
                  <c:v>46168</c:v>
                </c:pt>
                <c:pt idx="55">
                  <c:v>46169</c:v>
                </c:pt>
                <c:pt idx="56">
                  <c:v>46170</c:v>
                </c:pt>
                <c:pt idx="57">
                  <c:v>46171</c:v>
                </c:pt>
                <c:pt idx="58">
                  <c:v>46174</c:v>
                </c:pt>
                <c:pt idx="59">
                  <c:v>46175</c:v>
                </c:pt>
              </c:numCache>
            </c:numRef>
          </c:cat>
          <c:val>
            <c:numRef>
              <c:f>Clean_Data!$L$4:$L$63</c:f>
              <c:numCache>
                <c:formatCode>General</c:formatCode>
                <c:ptCount val="60"/>
                <c:pt idx="0">
                  <c:v>4.2782</c:v>
                </c:pt>
                <c:pt idx="1">
                  <c:v>4.2835999999999999</c:v>
                </c:pt>
                <c:pt idx="2">
                  <c:v>4.2554999999999996</c:v>
                </c:pt>
                <c:pt idx="3">
                  <c:v>4.274</c:v>
                </c:pt>
                <c:pt idx="4">
                  <c:v>4.2629000000000001</c:v>
                </c:pt>
                <c:pt idx="5">
                  <c:v>4.2693000000000003</c:v>
                </c:pt>
                <c:pt idx="6">
                  <c:v>4.2694000000000001</c:v>
                </c:pt>
                <c:pt idx="7">
                  <c:v>4.2666000000000004</c:v>
                </c:pt>
                <c:pt idx="8">
                  <c:v>4.2613000000000003</c:v>
                </c:pt>
                <c:pt idx="9">
                  <c:v>4.2782</c:v>
                </c:pt>
                <c:pt idx="10">
                  <c:v>4.2767999999999997</c:v>
                </c:pt>
                <c:pt idx="11">
                  <c:v>4.2866999999999997</c:v>
                </c:pt>
                <c:pt idx="12">
                  <c:v>4.2728000000000002</c:v>
                </c:pt>
                <c:pt idx="13">
                  <c:v>4.2691999999999997</c:v>
                </c:pt>
                <c:pt idx="14">
                  <c:v>4.2709999999999999</c:v>
                </c:pt>
                <c:pt idx="15">
                  <c:v>4.2858000000000001</c:v>
                </c:pt>
                <c:pt idx="16">
                  <c:v>4.2831999999999999</c:v>
                </c:pt>
                <c:pt idx="17">
                  <c:v>4.2893999999999997</c:v>
                </c:pt>
                <c:pt idx="18">
                  <c:v>4.2873999999999999</c:v>
                </c:pt>
                <c:pt idx="19">
                  <c:v>4.2869000000000002</c:v>
                </c:pt>
                <c:pt idx="20">
                  <c:v>4.2694000000000001</c:v>
                </c:pt>
                <c:pt idx="21">
                  <c:v>4.2622999999999998</c:v>
                </c:pt>
                <c:pt idx="22">
                  <c:v>4.2610000000000001</c:v>
                </c:pt>
                <c:pt idx="23">
                  <c:v>4.2534000000000001</c:v>
                </c:pt>
                <c:pt idx="24">
                  <c:v>4.2507000000000001</c:v>
                </c:pt>
                <c:pt idx="25">
                  <c:v>4.2435999999999998</c:v>
                </c:pt>
                <c:pt idx="26">
                  <c:v>4.2370000000000001</c:v>
                </c:pt>
                <c:pt idx="27">
                  <c:v>4.2411000000000003</c:v>
                </c:pt>
                <c:pt idx="28">
                  <c:v>4.2355</c:v>
                </c:pt>
                <c:pt idx="29">
                  <c:v>4.2346000000000004</c:v>
                </c:pt>
                <c:pt idx="30">
                  <c:v>4.2320000000000002</c:v>
                </c:pt>
                <c:pt idx="31">
                  <c:v>4.2408000000000001</c:v>
                </c:pt>
                <c:pt idx="32">
                  <c:v>4.2500999999999998</c:v>
                </c:pt>
                <c:pt idx="33">
                  <c:v>4.2427999999999999</c:v>
                </c:pt>
                <c:pt idx="34">
                  <c:v>4.2445000000000004</c:v>
                </c:pt>
                <c:pt idx="35">
                  <c:v>4.2469999999999999</c:v>
                </c:pt>
                <c:pt idx="36">
                  <c:v>4.2537000000000003</c:v>
                </c:pt>
                <c:pt idx="37">
                  <c:v>4.2588999999999997</c:v>
                </c:pt>
                <c:pt idx="38">
                  <c:v>4.2544000000000004</c:v>
                </c:pt>
                <c:pt idx="39">
                  <c:v>4.2550999999999997</c:v>
                </c:pt>
                <c:pt idx="40">
                  <c:v>4.2351000000000001</c:v>
                </c:pt>
                <c:pt idx="41">
                  <c:v>4.2286000000000001</c:v>
                </c:pt>
                <c:pt idx="42">
                  <c:v>4.2283999999999997</c:v>
                </c:pt>
                <c:pt idx="43">
                  <c:v>4.2385999999999999</c:v>
                </c:pt>
                <c:pt idx="44">
                  <c:v>4.2477999999999998</c:v>
                </c:pt>
                <c:pt idx="45">
                  <c:v>4.2523999999999997</c:v>
                </c:pt>
                <c:pt idx="46">
                  <c:v>4.2401</c:v>
                </c:pt>
                <c:pt idx="47">
                  <c:v>4.2488999999999999</c:v>
                </c:pt>
                <c:pt idx="48">
                  <c:v>4.2434000000000003</c:v>
                </c:pt>
                <c:pt idx="49">
                  <c:v>4.2389000000000001</c:v>
                </c:pt>
                <c:pt idx="50">
                  <c:v>4.2545999999999999</c:v>
                </c:pt>
                <c:pt idx="51">
                  <c:v>4.2460000000000004</c:v>
                </c:pt>
                <c:pt idx="52">
                  <c:v>4.2453000000000003</c:v>
                </c:pt>
                <c:pt idx="53">
                  <c:v>4.2351999999999999</c:v>
                </c:pt>
                <c:pt idx="54">
                  <c:v>4.2351999999999999</c:v>
                </c:pt>
                <c:pt idx="55">
                  <c:v>4.2393000000000001</c:v>
                </c:pt>
                <c:pt idx="56">
                  <c:v>4.2355</c:v>
                </c:pt>
                <c:pt idx="57">
                  <c:v>4.2321999999999997</c:v>
                </c:pt>
                <c:pt idx="58">
                  <c:v>4.2340999999999998</c:v>
                </c:pt>
                <c:pt idx="59">
                  <c:v>4.2333999999999996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11-4593-8540-ECCC9AE09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3033952"/>
        <c:axId val="1393035392"/>
      </c:lineChart>
      <c:dateAx>
        <c:axId val="139303395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93035392"/>
        <c:crosses val="autoZero"/>
        <c:auto val="1"/>
        <c:lblOffset val="100"/>
        <c:baseTimeUnit val="days"/>
      </c:dateAx>
      <c:valAx>
        <c:axId val="13930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9303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54</xdr:row>
      <xdr:rowOff>0</xdr:rowOff>
    </xdr:from>
    <xdr:to>
      <xdr:col>7</xdr:col>
      <xdr:colOff>104775</xdr:colOff>
      <xdr:row>68</xdr:row>
      <xdr:rowOff>76200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65902108-B7AA-4B5E-9CB9-F614F82AC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12</xdr:row>
      <xdr:rowOff>0</xdr:rowOff>
    </xdr:from>
    <xdr:to>
      <xdr:col>6</xdr:col>
      <xdr:colOff>533400</xdr:colOff>
      <xdr:row>26</xdr:row>
      <xdr:rowOff>76200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68E518A-D3AC-416C-A95D-4242F821B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66675</xdr:rowOff>
    </xdr:from>
    <xdr:to>
      <xdr:col>6</xdr:col>
      <xdr:colOff>542925</xdr:colOff>
      <xdr:row>45</xdr:row>
      <xdr:rowOff>142875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8BB2D675-74CE-452F-8CF2-E65F91308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4</xdr:row>
      <xdr:rowOff>152400</xdr:rowOff>
    </xdr:from>
    <xdr:ext cx="6534150" cy="2331279"/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C4B4B112-0A1E-5B5F-6F6C-F2EBB439B6A2}"/>
            </a:ext>
          </a:extLst>
        </xdr:cNvPr>
        <xdr:cNvSpPr txBox="1"/>
      </xdr:nvSpPr>
      <xdr:spPr>
        <a:xfrm>
          <a:off x="1733550" y="914400"/>
          <a:ext cx="6534150" cy="2331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l-PL" b="0"/>
            <a:t>W analizowanym okresie WIG20 wzrósł o 12,45%. Podczas ostatniej sesji indeks zyskał 1,03%, natomiast stopa zwrotu za ostatnie pięć sesji była lekko ujemna i wyniosła -0,37%.</a:t>
          </a:r>
        </a:p>
        <a:p>
          <a:endParaRPr lang="pl-PL" b="0"/>
        </a:p>
        <a:p>
          <a:r>
            <a:rPr lang="pl-PL"/>
            <a:t>Najwyższą stopę zwrotu w analizowanym okresie osiągnął WIG20. mWIG40 zyskał 11,91%, natomiast sWIG80 wzrósł o 5,30%.</a:t>
          </a:r>
        </a:p>
        <a:p>
          <a:endParaRPr lang="pl-PL" b="0"/>
        </a:p>
        <a:p>
          <a:r>
            <a:rPr lang="pl-PL" b="0"/>
            <a:t>Kursy USD/PLN oraz EUR/PLN spadły, co oznacza umocnienie złotego względem dolara amerykańskiego i euro.</a:t>
          </a:r>
        </a:p>
        <a:p>
          <a:endParaRPr lang="pl-PL" b="0"/>
        </a:p>
        <a:p>
          <a:r>
            <a:rPr lang="pl-PL"/>
            <a:t>Cena złota wyrażona w PLN spadła w analizowanym okresie o 13,92%. Dashboard nie zawiera danych XAU/USD, dlatego nie rozdzielono wpływu zmiany światowej ceny złota i kursu walutowego.</a:t>
          </a:r>
        </a:p>
        <a:p>
          <a:endParaRPr lang="pl-PL" b="0"/>
        </a:p>
        <a:p>
          <a:r>
            <a:rPr lang="pl-PL" b="0"/>
            <a:t>20-dniowa annualizowana zmienność WIG20 wyniosła 25,16%, wskazując na podwyższony poziom wahań rynkowych.</a:t>
          </a:r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28769851-6BD8-43B4-A3BA-D162772CC0DD}" autoFormatId="16" applyNumberFormats="0" applyBorderFormats="0" applyFontFormats="0" applyPatternFormats="0" applyAlignmentFormats="0" applyWidthHeightFormats="0">
  <queryTableRefresh nextId="7">
    <queryTableFields count="6">
      <queryTableField id="1" name="Data" tableColumnId="1"/>
      <queryTableField id="2" name="Otwarcie" tableColumnId="2"/>
      <queryTableField id="3" name="Najwyzszy" tableColumnId="3"/>
      <queryTableField id="4" name="Najnizszy" tableColumnId="4"/>
      <queryTableField id="5" name="Zamkniecie" tableColumnId="5"/>
      <queryTableField id="6" name="Wolume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4" xr16:uid="{22668D22-E0B8-439F-B779-F96838086BB5}" autoFormatId="16" applyNumberFormats="0" applyBorderFormats="0" applyFontFormats="0" applyPatternFormats="0" applyAlignmentFormats="0" applyWidthHeightFormats="0">
  <queryTableRefresh nextId="7">
    <queryTableFields count="6">
      <queryTableField id="1" name="Data" tableColumnId="1"/>
      <queryTableField id="2" name="Otwarcie" tableColumnId="2"/>
      <queryTableField id="3" name="Najwyzszy" tableColumnId="3"/>
      <queryTableField id="4" name="Najnizszy" tableColumnId="4"/>
      <queryTableField id="5" name="Zamkniecie" tableColumnId="5"/>
      <queryTableField id="6" name="Wolumen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5" xr16:uid="{757427AC-D4E9-42A7-9C76-E8C8344AE014}" autoFormatId="16" applyNumberFormats="0" applyBorderFormats="0" applyFontFormats="0" applyPatternFormats="0" applyAlignmentFormats="0" applyWidthHeightFormats="0">
  <queryTableRefresh nextId="7">
    <queryTableFields count="6">
      <queryTableField id="1" name="Data" tableColumnId="1"/>
      <queryTableField id="2" name="Otwarcie" tableColumnId="2"/>
      <queryTableField id="3" name="Najwyzszy" tableColumnId="3"/>
      <queryTableField id="4" name="Najnizszy" tableColumnId="4"/>
      <queryTableField id="5" name="Zamkniecie" tableColumnId="5"/>
      <queryTableField id="6" name="Wolumen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4EBC9AD-7BB8-46F1-A77C-31314188324C}" autoFormatId="16" applyNumberFormats="0" applyBorderFormats="0" applyFontFormats="0" applyPatternFormats="0" applyAlignmentFormats="0" applyWidthHeightFormats="0">
  <queryTableRefresh nextId="4">
    <queryTableFields count="3">
      <queryTableField id="1" name="no" tableColumnId="1"/>
      <queryTableField id="2" name="effectiveDate" tableColumnId="2"/>
      <queryTableField id="3" name="mi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0C3309C9-7CCB-4507-BE1D-A5B009BA84B6}" autoFormatId="16" applyNumberFormats="0" applyBorderFormats="0" applyFontFormats="0" applyPatternFormats="0" applyAlignmentFormats="0" applyWidthHeightFormats="0">
  <queryTableRefresh nextId="4">
    <queryTableFields count="3">
      <queryTableField id="1" name="no" tableColumnId="1"/>
      <queryTableField id="2" name="effectiveDate" tableColumnId="2"/>
      <queryTableField id="3" name="mi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7F4226C9-880D-4D84-8164-F3102D6A09D2}" autoFormatId="16" applyNumberFormats="0" applyBorderFormats="0" applyFontFormats="0" applyPatternFormats="0" applyAlignmentFormats="0" applyWidthHeightFormats="0">
  <queryTableRefresh nextId="3">
    <queryTableFields count="2">
      <queryTableField id="1" name="data" tableColumnId="1"/>
      <queryTableField id="2" name="cena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76536E-02C0-40FC-AB56-6AC809E4D11E}" name="wig20_d" displayName="wig20_d" ref="C5:H65" tableType="queryTable" totalsRowShown="0">
  <autoFilter ref="C5:H65" xr:uid="{4676536E-02C0-40FC-AB56-6AC809E4D11E}"/>
  <tableColumns count="6">
    <tableColumn id="1" xr3:uid="{13D2DD03-7621-454F-9ADB-C8CFE10CE03B}" uniqueName="1" name="Data" queryTableFieldId="1" dataDxfId="18"/>
    <tableColumn id="2" xr3:uid="{418A6017-9DE8-42E7-9AF8-5589669BA1D7}" uniqueName="2" name="Otwarcie" queryTableFieldId="2" dataDxfId="17"/>
    <tableColumn id="3" xr3:uid="{C40A68F5-F486-4208-8F56-95BC2891D3B4}" uniqueName="3" name="Najwyzszy" queryTableFieldId="3" dataDxfId="16"/>
    <tableColumn id="4" xr3:uid="{6DF19FCF-61ED-446B-BCB7-51200BCFDF2C}" uniqueName="4" name="Najnizszy" queryTableFieldId="4" dataDxfId="15"/>
    <tableColumn id="5" xr3:uid="{56BF2A41-25FA-4D96-B791-F16C06136BD2}" uniqueName="5" name="Zamkniecie" queryTableFieldId="5" dataDxfId="14"/>
    <tableColumn id="6" xr3:uid="{C5DECFE2-ED6A-4A0E-AF59-AC1A0BF9DC55}" uniqueName="6" name="Wolumen" queryTableFieldId="6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87D70F-D955-4401-BBD0-FF028CB61764}" name="mwig40_d" displayName="mwig40_d" ref="M5:R65" tableType="queryTable" totalsRowShown="0">
  <autoFilter ref="M5:R65" xr:uid="{1587D70F-D955-4401-BBD0-FF028CB61764}"/>
  <tableColumns count="6">
    <tableColumn id="1" xr3:uid="{6552441C-5C13-4515-88E2-2B93C4009AED}" uniqueName="1" name="Data" queryTableFieldId="1" dataDxfId="12"/>
    <tableColumn id="2" xr3:uid="{F6340572-A552-4B77-AAF6-4F77495849C1}" uniqueName="2" name="Otwarcie" queryTableFieldId="2" dataDxfId="11"/>
    <tableColumn id="3" xr3:uid="{F4D7D648-24A2-49F7-ACF9-18225D0DFE37}" uniqueName="3" name="Najwyzszy" queryTableFieldId="3" dataDxfId="10"/>
    <tableColumn id="4" xr3:uid="{C1276760-F7D3-4F80-A4D7-EF00F0CD02A1}" uniqueName="4" name="Najnizszy" queryTableFieldId="4" dataDxfId="9"/>
    <tableColumn id="5" xr3:uid="{DEB192FE-AC6E-4514-8F4C-56F6C5759FAD}" uniqueName="5" name="Zamkniecie" queryTableFieldId="5" dataDxfId="8"/>
    <tableColumn id="6" xr3:uid="{DC06B20F-F75F-457F-97C2-A8E2523B8726}" uniqueName="6" name="Wolumen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35DA05-E15B-4EA5-A1BD-2C50F474097C}" name="swig80_d" displayName="swig80_d" ref="W5:AB65" tableType="queryTable" totalsRowShown="0">
  <autoFilter ref="W5:AB65" xr:uid="{6335DA05-E15B-4EA5-A1BD-2C50F474097C}"/>
  <tableColumns count="6">
    <tableColumn id="1" xr3:uid="{F89DB652-E0C0-4032-BB01-7207EF4D0984}" uniqueName="1" name="Data" queryTableFieldId="1" dataDxfId="7"/>
    <tableColumn id="2" xr3:uid="{78790C63-55DE-4C04-BCD0-D0B4A6A834EA}" uniqueName="2" name="Otwarcie" queryTableFieldId="2" dataDxfId="6"/>
    <tableColumn id="3" xr3:uid="{56135F26-725A-4FE2-98CC-E3981CC3F0EB}" uniqueName="3" name="Najwyzszy" queryTableFieldId="3" dataDxfId="5"/>
    <tableColumn id="4" xr3:uid="{83547364-FBBE-4D11-9491-B423B6BA0CB1}" uniqueName="4" name="Najnizszy" queryTableFieldId="4" dataDxfId="4"/>
    <tableColumn id="5" xr3:uid="{D9E2BFC3-DE12-4AC7-9BEE-CE1707D66B8A}" uniqueName="5" name="Zamkniecie" queryTableFieldId="5" dataDxfId="3"/>
    <tableColumn id="6" xr3:uid="{DEFBB81C-D9F7-4010-B29A-4066154D74F4}" uniqueName="6" name="Wolumen" queryTableFieldId="6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623862-5A06-412E-B125-55F1406F7B4E}" name="_?format_json" displayName="_?format_json" ref="D5:F66" tableType="queryTable" totalsRowShown="0">
  <autoFilter ref="D5:F66" xr:uid="{A4623862-5A06-412E-B125-55F1406F7B4E}"/>
  <tableColumns count="3">
    <tableColumn id="1" xr3:uid="{5DA773D3-4D0D-4043-A93E-C23F2C3BBDA5}" uniqueName="1" name="no" queryTableFieldId="1"/>
    <tableColumn id="2" xr3:uid="{6FB9053F-96F5-44A7-912C-95C8EF5691CD}" uniqueName="2" name="effectiveDate" queryTableFieldId="2"/>
    <tableColumn id="3" xr3:uid="{6FA8F787-92E2-49D4-B0EE-40463CF80E88}" uniqueName="3" name="mi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4E2702-410D-4CC0-B270-331D06C0B762}" name="_?format_json__2" displayName="_?format_json__2" ref="K5:M66" tableType="queryTable" totalsRowShown="0">
  <autoFilter ref="K5:M66" xr:uid="{564E2702-410D-4CC0-B270-331D06C0B762}"/>
  <tableColumns count="3">
    <tableColumn id="1" xr3:uid="{2388C120-9993-4A1D-A6F8-722704896FCF}" uniqueName="1" name="no" queryTableFieldId="1"/>
    <tableColumn id="2" xr3:uid="{58E96CF4-25E4-4DD1-AF47-EF51E90AF0A5}" uniqueName="2" name="effectiveDate" queryTableFieldId="2"/>
    <tableColumn id="3" xr3:uid="{486D20A9-273C-4DE7-B207-C8155893DFD3}" uniqueName="3" name="mid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728995-C823-4AAA-A028-7ABE6560B317}" name="_?format_json__3" displayName="_?format_json__3" ref="R5:S66" tableType="queryTable" totalsRowShown="0">
  <autoFilter ref="R5:S66" xr:uid="{5C728995-C823-4AAA-A028-7ABE6560B317}"/>
  <tableColumns count="2">
    <tableColumn id="1" xr3:uid="{568A6447-5CDD-4A50-8A77-54F110B3223D}" uniqueName="1" name="data" queryTableFieldId="1"/>
    <tableColumn id="2" xr3:uid="{565DA897-92C5-4D09-A500-AC562BDF215E}" uniqueName="2" name="cena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932DFE-B39C-4E6A-9BF3-64375ACC958C}">
  <we:reference id="WA104379190" version="2.0.0.0" store="Omex" storeType="OMEX"/>
  <we:alternateReferences>
    <we:reference id="WA104379190" version="2.0.0.0" store="WA104379190" storeType="OMEX"/>
  </we:alternateReferences>
  <we:properties/>
  <we:bindings>
    <we:binding id="RangeSelect" type="matrix" appref="{99411A41-1B61-48C8-BBF0-172D5C8CC986}"/>
  </we:bindings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AE21-F137-4ABE-94C1-FFB608F3AB24}">
  <dimension ref="B4:B15"/>
  <sheetViews>
    <sheetView workbookViewId="0">
      <selection activeCell="G14" sqref="G14"/>
    </sheetView>
  </sheetViews>
  <sheetFormatPr defaultColWidth="8.85546875" defaultRowHeight="15" x14ac:dyDescent="0.25"/>
  <sheetData>
    <row r="4" spans="2:2" x14ac:dyDescent="0.25">
      <c r="B4" t="s">
        <v>966</v>
      </c>
    </row>
    <row r="5" spans="2:2" x14ac:dyDescent="0.25">
      <c r="B5" t="s">
        <v>967</v>
      </c>
    </row>
    <row r="6" spans="2:2" x14ac:dyDescent="0.25">
      <c r="B6" t="s">
        <v>968</v>
      </c>
    </row>
    <row r="7" spans="2:2" x14ac:dyDescent="0.25">
      <c r="B7" t="s">
        <v>969</v>
      </c>
    </row>
    <row r="8" spans="2:2" x14ac:dyDescent="0.25">
      <c r="B8" t="s">
        <v>970</v>
      </c>
    </row>
    <row r="9" spans="2:2" x14ac:dyDescent="0.25">
      <c r="B9" t="s">
        <v>975</v>
      </c>
    </row>
    <row r="10" spans="2:2" x14ac:dyDescent="0.25">
      <c r="B10" t="s">
        <v>971</v>
      </c>
    </row>
    <row r="15" spans="2:2" x14ac:dyDescent="0.25">
      <c r="B15" t="s">
        <v>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9EAC-F9B3-49CD-B9AC-417BF9FEFEC4}">
  <dimension ref="B3:AB66"/>
  <sheetViews>
    <sheetView tabSelected="1" topLeftCell="A4" zoomScale="55" zoomScaleNormal="55" workbookViewId="0">
      <selection activeCell="AI34" sqref="AI34"/>
    </sheetView>
  </sheetViews>
  <sheetFormatPr defaultColWidth="8.85546875" defaultRowHeight="15" x14ac:dyDescent="0.25"/>
  <cols>
    <col min="3" max="3" width="10.5703125" bestFit="1" customWidth="1"/>
    <col min="8" max="8" width="15.42578125" bestFit="1" customWidth="1"/>
    <col min="13" max="13" width="10.5703125" bestFit="1" customWidth="1"/>
    <col min="14" max="14" width="10.7109375" bestFit="1" customWidth="1"/>
    <col min="15" max="15" width="11.85546875" bestFit="1" customWidth="1"/>
    <col min="16" max="16" width="11.28515625" bestFit="1" customWidth="1"/>
    <col min="17" max="17" width="12.7109375" bestFit="1" customWidth="1"/>
    <col min="18" max="18" width="11" bestFit="1" customWidth="1"/>
    <col min="23" max="23" width="10.5703125" bestFit="1" customWidth="1"/>
    <col min="24" max="24" width="10.7109375" bestFit="1" customWidth="1"/>
    <col min="25" max="25" width="11.85546875" bestFit="1" customWidth="1"/>
    <col min="26" max="26" width="11.28515625" bestFit="1" customWidth="1"/>
    <col min="27" max="27" width="12.7109375" bestFit="1" customWidth="1"/>
    <col min="28" max="28" width="14.42578125" bestFit="1" customWidth="1"/>
  </cols>
  <sheetData>
    <row r="3" spans="3:28" x14ac:dyDescent="0.25">
      <c r="C3" t="s">
        <v>130</v>
      </c>
      <c r="M3" t="s">
        <v>418</v>
      </c>
      <c r="W3" t="s">
        <v>632</v>
      </c>
    </row>
    <row r="5" spans="3:28" x14ac:dyDescent="0.25">
      <c r="C5" t="s">
        <v>131</v>
      </c>
      <c r="D5" t="s">
        <v>132</v>
      </c>
      <c r="E5" t="s">
        <v>133</v>
      </c>
      <c r="F5" t="s">
        <v>134</v>
      </c>
      <c r="G5" t="s">
        <v>135</v>
      </c>
      <c r="H5" t="s">
        <v>136</v>
      </c>
      <c r="M5" t="s">
        <v>131</v>
      </c>
      <c r="N5" t="s">
        <v>132</v>
      </c>
      <c r="O5" t="s">
        <v>133</v>
      </c>
      <c r="P5" t="s">
        <v>134</v>
      </c>
      <c r="Q5" t="s">
        <v>135</v>
      </c>
      <c r="R5" t="s">
        <v>136</v>
      </c>
      <c r="W5" t="s">
        <v>131</v>
      </c>
      <c r="X5" t="s">
        <v>132</v>
      </c>
      <c r="Y5" t="s">
        <v>133</v>
      </c>
      <c r="Z5" t="s">
        <v>134</v>
      </c>
      <c r="AA5" t="s">
        <v>135</v>
      </c>
      <c r="AB5" t="s">
        <v>136</v>
      </c>
    </row>
    <row r="6" spans="3:28" x14ac:dyDescent="0.25">
      <c r="C6" s="1">
        <v>46087</v>
      </c>
      <c r="D6" t="s">
        <v>137</v>
      </c>
      <c r="E6" t="s">
        <v>137</v>
      </c>
      <c r="F6" t="s">
        <v>138</v>
      </c>
      <c r="G6" t="s">
        <v>139</v>
      </c>
      <c r="H6" t="s">
        <v>140</v>
      </c>
      <c r="M6" s="1">
        <v>46087</v>
      </c>
      <c r="N6" t="s">
        <v>419</v>
      </c>
      <c r="O6" t="s">
        <v>420</v>
      </c>
      <c r="P6" t="s">
        <v>421</v>
      </c>
      <c r="Q6" t="s">
        <v>422</v>
      </c>
      <c r="R6">
        <v>9318886</v>
      </c>
      <c r="W6" s="1">
        <v>46087</v>
      </c>
      <c r="X6" t="s">
        <v>633</v>
      </c>
      <c r="Y6" t="s">
        <v>633</v>
      </c>
      <c r="Z6" t="s">
        <v>634</v>
      </c>
      <c r="AA6" t="s">
        <v>635</v>
      </c>
      <c r="AB6" t="s">
        <v>636</v>
      </c>
    </row>
    <row r="7" spans="3:28" x14ac:dyDescent="0.25">
      <c r="C7" s="1">
        <v>46090</v>
      </c>
      <c r="D7" t="s">
        <v>141</v>
      </c>
      <c r="E7" t="s">
        <v>142</v>
      </c>
      <c r="F7" t="s">
        <v>143</v>
      </c>
      <c r="G7" t="s">
        <v>144</v>
      </c>
      <c r="H7" t="s">
        <v>145</v>
      </c>
      <c r="M7" s="1">
        <v>46090</v>
      </c>
      <c r="N7" t="s">
        <v>423</v>
      </c>
      <c r="O7" t="s">
        <v>424</v>
      </c>
      <c r="P7" t="s">
        <v>425</v>
      </c>
      <c r="Q7" t="s">
        <v>426</v>
      </c>
      <c r="R7">
        <v>11422123</v>
      </c>
      <c r="W7" s="1">
        <v>46090</v>
      </c>
      <c r="X7" t="s">
        <v>637</v>
      </c>
      <c r="Y7" t="s">
        <v>638</v>
      </c>
      <c r="Z7" t="s">
        <v>639</v>
      </c>
      <c r="AA7" t="s">
        <v>638</v>
      </c>
      <c r="AB7" t="s">
        <v>640</v>
      </c>
    </row>
    <row r="8" spans="3:28" x14ac:dyDescent="0.25">
      <c r="C8" s="1">
        <v>46091</v>
      </c>
      <c r="D8" t="s">
        <v>146</v>
      </c>
      <c r="E8" t="s">
        <v>147</v>
      </c>
      <c r="F8" t="s">
        <v>148</v>
      </c>
      <c r="G8" t="s">
        <v>149</v>
      </c>
      <c r="H8" t="s">
        <v>150</v>
      </c>
      <c r="M8" s="1">
        <v>46091</v>
      </c>
      <c r="N8" t="s">
        <v>427</v>
      </c>
      <c r="O8" t="s">
        <v>428</v>
      </c>
      <c r="P8" t="s">
        <v>429</v>
      </c>
      <c r="Q8" t="s">
        <v>430</v>
      </c>
      <c r="R8">
        <v>8120608</v>
      </c>
      <c r="W8" s="1">
        <v>46091</v>
      </c>
      <c r="X8" t="s">
        <v>641</v>
      </c>
      <c r="Y8" t="s">
        <v>642</v>
      </c>
      <c r="Z8" t="s">
        <v>643</v>
      </c>
      <c r="AA8" t="s">
        <v>644</v>
      </c>
      <c r="AB8" t="s">
        <v>645</v>
      </c>
    </row>
    <row r="9" spans="3:28" x14ac:dyDescent="0.25">
      <c r="C9" s="1">
        <v>46092</v>
      </c>
      <c r="D9" t="s">
        <v>151</v>
      </c>
      <c r="E9" t="s">
        <v>152</v>
      </c>
      <c r="F9" t="s">
        <v>153</v>
      </c>
      <c r="G9" t="s">
        <v>154</v>
      </c>
      <c r="H9" t="s">
        <v>155</v>
      </c>
      <c r="M9" s="1">
        <v>46092</v>
      </c>
      <c r="N9" t="s">
        <v>431</v>
      </c>
      <c r="O9" t="s">
        <v>431</v>
      </c>
      <c r="P9" t="s">
        <v>432</v>
      </c>
      <c r="Q9" t="s">
        <v>433</v>
      </c>
      <c r="R9">
        <v>10045249</v>
      </c>
      <c r="W9" s="1">
        <v>46092</v>
      </c>
      <c r="X9" t="s">
        <v>646</v>
      </c>
      <c r="Y9" t="s">
        <v>647</v>
      </c>
      <c r="Z9" t="s">
        <v>648</v>
      </c>
      <c r="AA9" t="s">
        <v>649</v>
      </c>
      <c r="AB9" t="s">
        <v>650</v>
      </c>
    </row>
    <row r="10" spans="3:28" x14ac:dyDescent="0.25">
      <c r="C10" s="1">
        <v>46093</v>
      </c>
      <c r="D10" t="s">
        <v>156</v>
      </c>
      <c r="E10" t="s">
        <v>157</v>
      </c>
      <c r="F10" t="s">
        <v>158</v>
      </c>
      <c r="G10" t="s">
        <v>159</v>
      </c>
      <c r="H10" t="s">
        <v>160</v>
      </c>
      <c r="M10" s="1">
        <v>46093</v>
      </c>
      <c r="N10" t="s">
        <v>434</v>
      </c>
      <c r="O10" t="s">
        <v>434</v>
      </c>
      <c r="P10" t="s">
        <v>435</v>
      </c>
      <c r="Q10" t="s">
        <v>436</v>
      </c>
      <c r="R10">
        <v>8360264</v>
      </c>
      <c r="W10" s="1">
        <v>46093</v>
      </c>
      <c r="X10" t="s">
        <v>651</v>
      </c>
      <c r="Y10" t="s">
        <v>652</v>
      </c>
      <c r="Z10" t="s">
        <v>653</v>
      </c>
      <c r="AA10" t="s">
        <v>654</v>
      </c>
      <c r="AB10" t="s">
        <v>655</v>
      </c>
    </row>
    <row r="11" spans="3:28" x14ac:dyDescent="0.25">
      <c r="C11" s="1">
        <v>46094</v>
      </c>
      <c r="D11" t="s">
        <v>161</v>
      </c>
      <c r="E11" t="s">
        <v>162</v>
      </c>
      <c r="F11" t="s">
        <v>163</v>
      </c>
      <c r="G11" t="s">
        <v>164</v>
      </c>
      <c r="H11" t="s">
        <v>165</v>
      </c>
      <c r="M11" s="1">
        <v>46094</v>
      </c>
      <c r="N11" t="s">
        <v>437</v>
      </c>
      <c r="O11" t="s">
        <v>438</v>
      </c>
      <c r="P11" t="s">
        <v>439</v>
      </c>
      <c r="Q11" t="s">
        <v>440</v>
      </c>
      <c r="R11">
        <v>10953765</v>
      </c>
      <c r="W11" s="1">
        <v>46094</v>
      </c>
      <c r="X11" t="s">
        <v>656</v>
      </c>
      <c r="Y11" t="s">
        <v>657</v>
      </c>
      <c r="Z11" t="s">
        <v>658</v>
      </c>
      <c r="AA11" t="s">
        <v>659</v>
      </c>
      <c r="AB11" t="s">
        <v>660</v>
      </c>
    </row>
    <row r="12" spans="3:28" x14ac:dyDescent="0.25">
      <c r="C12" s="1">
        <v>46097</v>
      </c>
      <c r="D12" t="s">
        <v>166</v>
      </c>
      <c r="E12" t="s">
        <v>167</v>
      </c>
      <c r="F12" t="s">
        <v>168</v>
      </c>
      <c r="G12" t="s">
        <v>169</v>
      </c>
      <c r="H12" t="s">
        <v>170</v>
      </c>
      <c r="M12" s="1">
        <v>46097</v>
      </c>
      <c r="N12" t="s">
        <v>441</v>
      </c>
      <c r="O12" t="s">
        <v>442</v>
      </c>
      <c r="P12" t="s">
        <v>443</v>
      </c>
      <c r="Q12" t="s">
        <v>444</v>
      </c>
      <c r="R12">
        <v>9323991</v>
      </c>
      <c r="W12" s="1">
        <v>46097</v>
      </c>
      <c r="X12" t="s">
        <v>661</v>
      </c>
      <c r="Y12" t="s">
        <v>662</v>
      </c>
      <c r="Z12" t="s">
        <v>663</v>
      </c>
      <c r="AA12" t="s">
        <v>664</v>
      </c>
      <c r="AB12" t="s">
        <v>665</v>
      </c>
    </row>
    <row r="13" spans="3:28" x14ac:dyDescent="0.25">
      <c r="C13" s="1">
        <v>46098</v>
      </c>
      <c r="D13" t="s">
        <v>171</v>
      </c>
      <c r="E13" t="s">
        <v>172</v>
      </c>
      <c r="F13" t="s">
        <v>173</v>
      </c>
      <c r="G13" t="s">
        <v>174</v>
      </c>
      <c r="H13" t="s">
        <v>175</v>
      </c>
      <c r="M13" s="1">
        <v>46098</v>
      </c>
      <c r="N13" t="s">
        <v>445</v>
      </c>
      <c r="O13" t="s">
        <v>446</v>
      </c>
      <c r="P13" t="s">
        <v>447</v>
      </c>
      <c r="Q13" t="s">
        <v>446</v>
      </c>
      <c r="R13">
        <v>11845878</v>
      </c>
      <c r="W13" s="1">
        <v>46098</v>
      </c>
      <c r="X13" t="s">
        <v>666</v>
      </c>
      <c r="Y13" t="s">
        <v>667</v>
      </c>
      <c r="Z13" t="s">
        <v>668</v>
      </c>
      <c r="AA13" t="s">
        <v>669</v>
      </c>
      <c r="AB13" t="s">
        <v>670</v>
      </c>
    </row>
    <row r="14" spans="3:28" x14ac:dyDescent="0.25">
      <c r="C14" s="1">
        <v>46099</v>
      </c>
      <c r="D14" t="s">
        <v>176</v>
      </c>
      <c r="E14" t="s">
        <v>177</v>
      </c>
      <c r="F14" t="s">
        <v>178</v>
      </c>
      <c r="G14" t="s">
        <v>178</v>
      </c>
      <c r="H14" t="s">
        <v>179</v>
      </c>
      <c r="M14" s="1">
        <v>46099</v>
      </c>
      <c r="N14" t="s">
        <v>448</v>
      </c>
      <c r="O14" t="s">
        <v>449</v>
      </c>
      <c r="P14" t="s">
        <v>450</v>
      </c>
      <c r="Q14" t="s">
        <v>451</v>
      </c>
      <c r="R14">
        <v>13579688</v>
      </c>
      <c r="W14" s="1">
        <v>46099</v>
      </c>
      <c r="X14" t="s">
        <v>671</v>
      </c>
      <c r="Y14" t="s">
        <v>672</v>
      </c>
      <c r="Z14" t="s">
        <v>673</v>
      </c>
      <c r="AA14" t="s">
        <v>673</v>
      </c>
      <c r="AB14" t="s">
        <v>674</v>
      </c>
    </row>
    <row r="15" spans="3:28" x14ac:dyDescent="0.25">
      <c r="C15" s="1">
        <v>46100</v>
      </c>
      <c r="D15" t="s">
        <v>180</v>
      </c>
      <c r="E15" t="s">
        <v>180</v>
      </c>
      <c r="F15" t="s">
        <v>181</v>
      </c>
      <c r="G15" t="s">
        <v>182</v>
      </c>
      <c r="H15" t="s">
        <v>183</v>
      </c>
      <c r="M15" s="1">
        <v>46100</v>
      </c>
      <c r="N15" t="s">
        <v>452</v>
      </c>
      <c r="O15" t="s">
        <v>452</v>
      </c>
      <c r="P15" t="s">
        <v>453</v>
      </c>
      <c r="Q15" t="s">
        <v>454</v>
      </c>
      <c r="R15">
        <v>13074387</v>
      </c>
      <c r="W15" s="1">
        <v>46100</v>
      </c>
      <c r="X15" t="s">
        <v>675</v>
      </c>
      <c r="Y15" t="s">
        <v>675</v>
      </c>
      <c r="Z15" t="s">
        <v>676</v>
      </c>
      <c r="AA15" t="s">
        <v>677</v>
      </c>
      <c r="AB15" t="s">
        <v>678</v>
      </c>
    </row>
    <row r="16" spans="3:28" x14ac:dyDescent="0.25">
      <c r="C16" s="1">
        <v>46101</v>
      </c>
      <c r="D16" t="s">
        <v>184</v>
      </c>
      <c r="E16" t="s">
        <v>185</v>
      </c>
      <c r="F16" t="s">
        <v>186</v>
      </c>
      <c r="G16" t="s">
        <v>187</v>
      </c>
      <c r="H16" t="s">
        <v>188</v>
      </c>
      <c r="M16" s="1">
        <v>46101</v>
      </c>
      <c r="N16" t="s">
        <v>455</v>
      </c>
      <c r="O16" t="s">
        <v>455</v>
      </c>
      <c r="P16" t="s">
        <v>456</v>
      </c>
      <c r="Q16" t="s">
        <v>457</v>
      </c>
      <c r="R16">
        <v>38299941</v>
      </c>
      <c r="W16" s="1">
        <v>46101</v>
      </c>
      <c r="X16" t="s">
        <v>679</v>
      </c>
      <c r="Y16" t="s">
        <v>680</v>
      </c>
      <c r="Z16" t="s">
        <v>681</v>
      </c>
      <c r="AA16" t="s">
        <v>681</v>
      </c>
      <c r="AB16" t="s">
        <v>682</v>
      </c>
    </row>
    <row r="17" spans="3:28" x14ac:dyDescent="0.25">
      <c r="C17" s="1">
        <v>46104</v>
      </c>
      <c r="D17" t="s">
        <v>189</v>
      </c>
      <c r="E17" t="s">
        <v>190</v>
      </c>
      <c r="F17" t="s">
        <v>191</v>
      </c>
      <c r="G17" t="s">
        <v>192</v>
      </c>
      <c r="H17" t="s">
        <v>193</v>
      </c>
      <c r="M17" s="1">
        <v>46104</v>
      </c>
      <c r="N17" t="s">
        <v>458</v>
      </c>
      <c r="O17" t="s">
        <v>459</v>
      </c>
      <c r="P17" t="s">
        <v>460</v>
      </c>
      <c r="Q17" t="s">
        <v>461</v>
      </c>
      <c r="R17">
        <v>20163484</v>
      </c>
      <c r="W17" s="1">
        <v>46104</v>
      </c>
      <c r="X17" t="s">
        <v>683</v>
      </c>
      <c r="Y17" t="s">
        <v>684</v>
      </c>
      <c r="Z17" t="s">
        <v>685</v>
      </c>
      <c r="AA17" t="s">
        <v>686</v>
      </c>
      <c r="AB17" t="s">
        <v>687</v>
      </c>
    </row>
    <row r="18" spans="3:28" x14ac:dyDescent="0.25">
      <c r="C18" s="1">
        <v>46105</v>
      </c>
      <c r="D18" t="s">
        <v>194</v>
      </c>
      <c r="E18" t="s">
        <v>194</v>
      </c>
      <c r="F18" t="s">
        <v>195</v>
      </c>
      <c r="G18" t="s">
        <v>196</v>
      </c>
      <c r="H18" t="s">
        <v>197</v>
      </c>
      <c r="M18" s="1">
        <v>46105</v>
      </c>
      <c r="N18" t="s">
        <v>462</v>
      </c>
      <c r="O18" t="s">
        <v>462</v>
      </c>
      <c r="P18" t="s">
        <v>463</v>
      </c>
      <c r="Q18" t="s">
        <v>464</v>
      </c>
      <c r="R18">
        <v>7228813</v>
      </c>
      <c r="W18" s="1">
        <v>46105</v>
      </c>
      <c r="X18" t="s">
        <v>688</v>
      </c>
      <c r="Y18" t="s">
        <v>689</v>
      </c>
      <c r="Z18" t="s">
        <v>690</v>
      </c>
      <c r="AA18" t="s">
        <v>691</v>
      </c>
      <c r="AB18" t="s">
        <v>692</v>
      </c>
    </row>
    <row r="19" spans="3:28" x14ac:dyDescent="0.25">
      <c r="C19" s="1">
        <v>46106</v>
      </c>
      <c r="D19" t="s">
        <v>198</v>
      </c>
      <c r="E19" t="s">
        <v>199</v>
      </c>
      <c r="F19" t="s">
        <v>200</v>
      </c>
      <c r="G19" t="s">
        <v>201</v>
      </c>
      <c r="H19" t="s">
        <v>202</v>
      </c>
      <c r="M19" s="1">
        <v>46106</v>
      </c>
      <c r="N19" t="s">
        <v>465</v>
      </c>
      <c r="O19" t="s">
        <v>466</v>
      </c>
      <c r="P19" t="s">
        <v>467</v>
      </c>
      <c r="Q19" t="s">
        <v>468</v>
      </c>
      <c r="R19">
        <v>8090900</v>
      </c>
      <c r="W19" s="1">
        <v>46106</v>
      </c>
      <c r="X19" t="s">
        <v>693</v>
      </c>
      <c r="Y19" t="s">
        <v>694</v>
      </c>
      <c r="Z19" t="s">
        <v>695</v>
      </c>
      <c r="AA19" t="s">
        <v>696</v>
      </c>
      <c r="AB19" t="s">
        <v>697</v>
      </c>
    </row>
    <row r="20" spans="3:28" x14ac:dyDescent="0.25">
      <c r="C20" s="1">
        <v>46107</v>
      </c>
      <c r="D20" t="s">
        <v>203</v>
      </c>
      <c r="E20" t="s">
        <v>185</v>
      </c>
      <c r="F20" t="s">
        <v>204</v>
      </c>
      <c r="G20" t="s">
        <v>205</v>
      </c>
      <c r="H20" t="s">
        <v>206</v>
      </c>
      <c r="M20" s="1">
        <v>46107</v>
      </c>
      <c r="N20" t="s">
        <v>469</v>
      </c>
      <c r="O20" t="s">
        <v>469</v>
      </c>
      <c r="P20" t="s">
        <v>470</v>
      </c>
      <c r="Q20" t="s">
        <v>471</v>
      </c>
      <c r="R20">
        <v>5830946</v>
      </c>
      <c r="W20" s="1">
        <v>46107</v>
      </c>
      <c r="X20" t="s">
        <v>698</v>
      </c>
      <c r="Y20" t="s">
        <v>698</v>
      </c>
      <c r="Z20" t="s">
        <v>699</v>
      </c>
      <c r="AA20" t="s">
        <v>700</v>
      </c>
      <c r="AB20" t="s">
        <v>701</v>
      </c>
    </row>
    <row r="21" spans="3:28" x14ac:dyDescent="0.25">
      <c r="C21" s="1">
        <v>46108</v>
      </c>
      <c r="D21" t="s">
        <v>207</v>
      </c>
      <c r="E21" t="s">
        <v>207</v>
      </c>
      <c r="F21" t="s">
        <v>208</v>
      </c>
      <c r="G21" t="s">
        <v>209</v>
      </c>
      <c r="H21" t="s">
        <v>210</v>
      </c>
      <c r="M21" s="1">
        <v>46108</v>
      </c>
      <c r="N21" t="s">
        <v>472</v>
      </c>
      <c r="O21" t="s">
        <v>472</v>
      </c>
      <c r="P21" t="s">
        <v>473</v>
      </c>
      <c r="Q21" t="s">
        <v>474</v>
      </c>
      <c r="R21">
        <v>6910984</v>
      </c>
      <c r="W21" s="1">
        <v>46108</v>
      </c>
      <c r="X21" t="s">
        <v>702</v>
      </c>
      <c r="Y21" t="s">
        <v>703</v>
      </c>
      <c r="Z21" t="s">
        <v>704</v>
      </c>
      <c r="AA21" t="s">
        <v>705</v>
      </c>
      <c r="AB21" t="s">
        <v>706</v>
      </c>
    </row>
    <row r="22" spans="3:28" x14ac:dyDescent="0.25">
      <c r="C22" s="1">
        <v>46111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M22" s="1">
        <v>46111</v>
      </c>
      <c r="N22" t="s">
        <v>475</v>
      </c>
      <c r="O22" t="s">
        <v>476</v>
      </c>
      <c r="P22" t="s">
        <v>477</v>
      </c>
      <c r="Q22" t="s">
        <v>478</v>
      </c>
      <c r="R22">
        <v>8272963</v>
      </c>
      <c r="W22" s="1">
        <v>46111</v>
      </c>
      <c r="X22" t="s">
        <v>707</v>
      </c>
      <c r="Y22" t="s">
        <v>708</v>
      </c>
      <c r="Z22" t="s">
        <v>709</v>
      </c>
      <c r="AA22" t="s">
        <v>710</v>
      </c>
      <c r="AB22" t="s">
        <v>711</v>
      </c>
    </row>
    <row r="23" spans="3:28" x14ac:dyDescent="0.25">
      <c r="C23" s="1">
        <v>46112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M23" s="1">
        <v>46112</v>
      </c>
      <c r="N23" t="s">
        <v>479</v>
      </c>
      <c r="O23" t="s">
        <v>480</v>
      </c>
      <c r="P23" t="s">
        <v>479</v>
      </c>
      <c r="Q23" t="s">
        <v>481</v>
      </c>
      <c r="R23">
        <v>8310311</v>
      </c>
      <c r="W23" s="1">
        <v>46112</v>
      </c>
      <c r="X23" t="s">
        <v>712</v>
      </c>
      <c r="Y23" t="s">
        <v>713</v>
      </c>
      <c r="Z23" t="s">
        <v>714</v>
      </c>
      <c r="AA23" t="s">
        <v>715</v>
      </c>
      <c r="AB23" t="s">
        <v>716</v>
      </c>
    </row>
    <row r="24" spans="3:28" x14ac:dyDescent="0.25">
      <c r="C24" s="1">
        <v>46113</v>
      </c>
      <c r="D24" t="s">
        <v>221</v>
      </c>
      <c r="E24" t="s">
        <v>222</v>
      </c>
      <c r="F24" t="s">
        <v>223</v>
      </c>
      <c r="G24" t="s">
        <v>224</v>
      </c>
      <c r="H24" t="s">
        <v>225</v>
      </c>
      <c r="M24" s="1">
        <v>46113</v>
      </c>
      <c r="N24" t="s">
        <v>482</v>
      </c>
      <c r="O24" t="s">
        <v>483</v>
      </c>
      <c r="P24" t="s">
        <v>484</v>
      </c>
      <c r="Q24" t="s">
        <v>485</v>
      </c>
      <c r="R24">
        <v>9707386</v>
      </c>
      <c r="W24" s="1">
        <v>46113</v>
      </c>
      <c r="X24" t="s">
        <v>717</v>
      </c>
      <c r="Y24" t="s">
        <v>718</v>
      </c>
      <c r="Z24" t="s">
        <v>719</v>
      </c>
      <c r="AA24" t="s">
        <v>720</v>
      </c>
      <c r="AB24" t="s">
        <v>721</v>
      </c>
    </row>
    <row r="25" spans="3:28" x14ac:dyDescent="0.25">
      <c r="C25" s="1">
        <v>46114</v>
      </c>
      <c r="D25" t="s">
        <v>226</v>
      </c>
      <c r="E25" t="s">
        <v>227</v>
      </c>
      <c r="F25" t="s">
        <v>228</v>
      </c>
      <c r="G25" t="s">
        <v>227</v>
      </c>
      <c r="H25" t="s">
        <v>229</v>
      </c>
      <c r="M25" s="1">
        <v>46114</v>
      </c>
      <c r="N25" t="s">
        <v>486</v>
      </c>
      <c r="O25" t="s">
        <v>487</v>
      </c>
      <c r="P25" t="s">
        <v>488</v>
      </c>
      <c r="Q25" t="s">
        <v>487</v>
      </c>
      <c r="R25">
        <v>7586780</v>
      </c>
      <c r="W25" s="1">
        <v>46114</v>
      </c>
      <c r="X25" t="s">
        <v>722</v>
      </c>
      <c r="Y25" t="s">
        <v>723</v>
      </c>
      <c r="Z25" t="s">
        <v>724</v>
      </c>
      <c r="AA25" t="s">
        <v>723</v>
      </c>
      <c r="AB25" t="s">
        <v>725</v>
      </c>
    </row>
    <row r="26" spans="3:28" x14ac:dyDescent="0.25">
      <c r="C26" s="1">
        <v>46119</v>
      </c>
      <c r="D26" t="s">
        <v>230</v>
      </c>
      <c r="E26" t="s">
        <v>231</v>
      </c>
      <c r="F26" t="s">
        <v>232</v>
      </c>
      <c r="G26" t="s">
        <v>233</v>
      </c>
      <c r="H26" t="s">
        <v>234</v>
      </c>
      <c r="M26" s="1">
        <v>46119</v>
      </c>
      <c r="N26" t="s">
        <v>489</v>
      </c>
      <c r="O26" t="s">
        <v>490</v>
      </c>
      <c r="P26" t="s">
        <v>491</v>
      </c>
      <c r="Q26" t="s">
        <v>492</v>
      </c>
      <c r="R26">
        <v>8772351</v>
      </c>
      <c r="W26" s="1">
        <v>46119</v>
      </c>
      <c r="X26" t="s">
        <v>726</v>
      </c>
      <c r="Y26" t="s">
        <v>727</v>
      </c>
      <c r="Z26" t="s">
        <v>728</v>
      </c>
      <c r="AA26" t="s">
        <v>729</v>
      </c>
      <c r="AB26" t="s">
        <v>730</v>
      </c>
    </row>
    <row r="27" spans="3:28" x14ac:dyDescent="0.25">
      <c r="C27" s="1">
        <v>46120</v>
      </c>
      <c r="D27" t="s">
        <v>235</v>
      </c>
      <c r="E27" t="s">
        <v>236</v>
      </c>
      <c r="F27" t="s">
        <v>237</v>
      </c>
      <c r="G27" t="s">
        <v>238</v>
      </c>
      <c r="H27" t="s">
        <v>239</v>
      </c>
      <c r="M27" s="1">
        <v>46120</v>
      </c>
      <c r="N27" t="s">
        <v>493</v>
      </c>
      <c r="O27" t="s">
        <v>494</v>
      </c>
      <c r="P27" t="s">
        <v>495</v>
      </c>
      <c r="Q27" t="s">
        <v>496</v>
      </c>
      <c r="R27">
        <v>13159214</v>
      </c>
      <c r="W27" s="1">
        <v>46120</v>
      </c>
      <c r="X27" t="s">
        <v>731</v>
      </c>
      <c r="Y27" t="s">
        <v>732</v>
      </c>
      <c r="Z27" t="s">
        <v>733</v>
      </c>
      <c r="AA27" t="s">
        <v>734</v>
      </c>
      <c r="AB27" t="s">
        <v>735</v>
      </c>
    </row>
    <row r="28" spans="3:28" x14ac:dyDescent="0.25">
      <c r="C28" s="1">
        <v>46121</v>
      </c>
      <c r="D28" t="s">
        <v>240</v>
      </c>
      <c r="E28" t="s">
        <v>241</v>
      </c>
      <c r="F28" t="s">
        <v>242</v>
      </c>
      <c r="G28" t="s">
        <v>243</v>
      </c>
      <c r="H28" t="s">
        <v>244</v>
      </c>
      <c r="M28" s="1">
        <v>46121</v>
      </c>
      <c r="N28" t="s">
        <v>497</v>
      </c>
      <c r="O28" t="s">
        <v>498</v>
      </c>
      <c r="P28" t="s">
        <v>499</v>
      </c>
      <c r="Q28" t="s">
        <v>500</v>
      </c>
      <c r="R28">
        <v>6935926</v>
      </c>
      <c r="W28" s="1">
        <v>46121</v>
      </c>
      <c r="X28" t="s">
        <v>736</v>
      </c>
      <c r="Y28" t="s">
        <v>737</v>
      </c>
      <c r="Z28" t="s">
        <v>738</v>
      </c>
      <c r="AA28" t="s">
        <v>739</v>
      </c>
      <c r="AB28" t="s">
        <v>740</v>
      </c>
    </row>
    <row r="29" spans="3:28" x14ac:dyDescent="0.25">
      <c r="C29" s="1">
        <v>46122</v>
      </c>
      <c r="D29" t="s">
        <v>245</v>
      </c>
      <c r="E29" t="s">
        <v>246</v>
      </c>
      <c r="F29" t="s">
        <v>247</v>
      </c>
      <c r="G29" t="s">
        <v>246</v>
      </c>
      <c r="H29" t="s">
        <v>248</v>
      </c>
      <c r="M29" s="1">
        <v>46122</v>
      </c>
      <c r="N29" t="s">
        <v>501</v>
      </c>
      <c r="O29" t="s">
        <v>502</v>
      </c>
      <c r="P29" t="s">
        <v>503</v>
      </c>
      <c r="Q29" t="s">
        <v>504</v>
      </c>
      <c r="R29">
        <v>9326446</v>
      </c>
      <c r="W29" s="1">
        <v>46122</v>
      </c>
      <c r="X29" t="s">
        <v>741</v>
      </c>
      <c r="Y29" t="s">
        <v>742</v>
      </c>
      <c r="Z29" t="s">
        <v>743</v>
      </c>
      <c r="AA29" t="s">
        <v>744</v>
      </c>
      <c r="AB29" t="s">
        <v>745</v>
      </c>
    </row>
    <row r="30" spans="3:28" x14ac:dyDescent="0.25">
      <c r="C30" s="1">
        <v>46125</v>
      </c>
      <c r="D30" t="s">
        <v>249</v>
      </c>
      <c r="E30" t="s">
        <v>250</v>
      </c>
      <c r="F30" t="s">
        <v>251</v>
      </c>
      <c r="G30" t="s">
        <v>250</v>
      </c>
      <c r="H30" t="s">
        <v>252</v>
      </c>
      <c r="M30" s="1">
        <v>46125</v>
      </c>
      <c r="N30" t="s">
        <v>505</v>
      </c>
      <c r="O30" t="s">
        <v>506</v>
      </c>
      <c r="P30" t="s">
        <v>507</v>
      </c>
      <c r="Q30" t="s">
        <v>508</v>
      </c>
      <c r="R30">
        <v>8823976</v>
      </c>
      <c r="W30" s="1">
        <v>46125</v>
      </c>
      <c r="X30" t="s">
        <v>746</v>
      </c>
      <c r="Y30" t="s">
        <v>747</v>
      </c>
      <c r="Z30" t="s">
        <v>748</v>
      </c>
      <c r="AA30" t="s">
        <v>747</v>
      </c>
      <c r="AB30" t="s">
        <v>749</v>
      </c>
    </row>
    <row r="31" spans="3:28" x14ac:dyDescent="0.25">
      <c r="C31" s="1">
        <v>46126</v>
      </c>
      <c r="D31" t="s">
        <v>253</v>
      </c>
      <c r="E31" t="s">
        <v>254</v>
      </c>
      <c r="F31" t="s">
        <v>255</v>
      </c>
      <c r="G31" t="s">
        <v>256</v>
      </c>
      <c r="H31" t="s">
        <v>257</v>
      </c>
      <c r="M31" s="1">
        <v>46126</v>
      </c>
      <c r="N31" t="s">
        <v>509</v>
      </c>
      <c r="O31" t="s">
        <v>510</v>
      </c>
      <c r="P31" t="s">
        <v>511</v>
      </c>
      <c r="Q31" t="s">
        <v>512</v>
      </c>
      <c r="R31">
        <v>6869359</v>
      </c>
      <c r="W31" s="1">
        <v>46126</v>
      </c>
      <c r="X31" t="s">
        <v>750</v>
      </c>
      <c r="Y31" t="s">
        <v>751</v>
      </c>
      <c r="Z31" t="s">
        <v>752</v>
      </c>
      <c r="AA31" t="s">
        <v>751</v>
      </c>
      <c r="AB31" t="s">
        <v>753</v>
      </c>
    </row>
    <row r="32" spans="3:28" x14ac:dyDescent="0.25">
      <c r="C32" s="1">
        <v>46127</v>
      </c>
      <c r="D32" t="s">
        <v>258</v>
      </c>
      <c r="E32" t="s">
        <v>259</v>
      </c>
      <c r="F32" t="s">
        <v>260</v>
      </c>
      <c r="G32" t="s">
        <v>261</v>
      </c>
      <c r="H32" t="s">
        <v>262</v>
      </c>
      <c r="M32" s="1">
        <v>46127</v>
      </c>
      <c r="N32" t="s">
        <v>513</v>
      </c>
      <c r="O32" t="s">
        <v>514</v>
      </c>
      <c r="P32" t="s">
        <v>515</v>
      </c>
      <c r="Q32" t="s">
        <v>514</v>
      </c>
      <c r="R32">
        <v>8370185</v>
      </c>
      <c r="W32" s="1">
        <v>46127</v>
      </c>
      <c r="X32" t="s">
        <v>754</v>
      </c>
      <c r="Y32" t="s">
        <v>755</v>
      </c>
      <c r="Z32" t="s">
        <v>756</v>
      </c>
      <c r="AA32" t="s">
        <v>757</v>
      </c>
      <c r="AB32" t="s">
        <v>758</v>
      </c>
    </row>
    <row r="33" spans="3:28" x14ac:dyDescent="0.25">
      <c r="C33" s="1">
        <v>46128</v>
      </c>
      <c r="D33" t="s">
        <v>263</v>
      </c>
      <c r="E33" t="s">
        <v>264</v>
      </c>
      <c r="F33" t="s">
        <v>265</v>
      </c>
      <c r="G33" t="s">
        <v>266</v>
      </c>
      <c r="H33" t="s">
        <v>267</v>
      </c>
      <c r="M33" s="1">
        <v>46128</v>
      </c>
      <c r="N33" t="s">
        <v>516</v>
      </c>
      <c r="O33" t="s">
        <v>517</v>
      </c>
      <c r="P33" t="s">
        <v>518</v>
      </c>
      <c r="Q33" t="s">
        <v>519</v>
      </c>
      <c r="R33">
        <v>9729952</v>
      </c>
      <c r="W33" s="1">
        <v>46128</v>
      </c>
      <c r="X33" t="s">
        <v>759</v>
      </c>
      <c r="Y33" t="s">
        <v>760</v>
      </c>
      <c r="Z33" t="s">
        <v>761</v>
      </c>
      <c r="AA33" t="s">
        <v>762</v>
      </c>
      <c r="AB33" t="s">
        <v>763</v>
      </c>
    </row>
    <row r="34" spans="3:28" x14ac:dyDescent="0.25">
      <c r="C34" s="1">
        <v>46129</v>
      </c>
      <c r="D34" t="s">
        <v>268</v>
      </c>
      <c r="E34" t="s">
        <v>269</v>
      </c>
      <c r="F34" t="s">
        <v>270</v>
      </c>
      <c r="G34" t="s">
        <v>271</v>
      </c>
      <c r="H34" t="s">
        <v>272</v>
      </c>
      <c r="M34" s="1">
        <v>46129</v>
      </c>
      <c r="N34" t="s">
        <v>520</v>
      </c>
      <c r="O34" t="s">
        <v>521</v>
      </c>
      <c r="P34" t="s">
        <v>522</v>
      </c>
      <c r="Q34" t="s">
        <v>523</v>
      </c>
      <c r="R34">
        <v>8721596</v>
      </c>
      <c r="W34" s="1">
        <v>46129</v>
      </c>
      <c r="X34" t="s">
        <v>764</v>
      </c>
      <c r="Y34" t="s">
        <v>765</v>
      </c>
      <c r="Z34" t="s">
        <v>766</v>
      </c>
      <c r="AA34" t="s">
        <v>765</v>
      </c>
      <c r="AB34" t="s">
        <v>767</v>
      </c>
    </row>
    <row r="35" spans="3:28" x14ac:dyDescent="0.25">
      <c r="C35" s="1">
        <v>46132</v>
      </c>
      <c r="D35" t="s">
        <v>273</v>
      </c>
      <c r="E35" t="s">
        <v>274</v>
      </c>
      <c r="F35" t="s">
        <v>275</v>
      </c>
      <c r="G35" t="s">
        <v>276</v>
      </c>
      <c r="H35" t="s">
        <v>277</v>
      </c>
      <c r="M35" s="1">
        <v>46132</v>
      </c>
      <c r="N35" t="s">
        <v>524</v>
      </c>
      <c r="O35" t="s">
        <v>525</v>
      </c>
      <c r="P35" t="s">
        <v>526</v>
      </c>
      <c r="Q35" t="s">
        <v>527</v>
      </c>
      <c r="R35">
        <v>7108937</v>
      </c>
      <c r="W35" s="1">
        <v>46132</v>
      </c>
      <c r="X35" t="s">
        <v>768</v>
      </c>
      <c r="Y35" t="s">
        <v>769</v>
      </c>
      <c r="Z35" t="s">
        <v>770</v>
      </c>
      <c r="AA35" t="s">
        <v>771</v>
      </c>
      <c r="AB35" t="s">
        <v>772</v>
      </c>
    </row>
    <row r="36" spans="3:28" x14ac:dyDescent="0.25">
      <c r="C36" s="1">
        <v>46133</v>
      </c>
      <c r="D36" t="s">
        <v>278</v>
      </c>
      <c r="E36" t="s">
        <v>279</v>
      </c>
      <c r="F36" t="s">
        <v>280</v>
      </c>
      <c r="G36" t="s">
        <v>280</v>
      </c>
      <c r="H36" t="s">
        <v>281</v>
      </c>
      <c r="M36" s="1">
        <v>46133</v>
      </c>
      <c r="N36" t="s">
        <v>528</v>
      </c>
      <c r="O36" t="s">
        <v>528</v>
      </c>
      <c r="P36" t="s">
        <v>529</v>
      </c>
      <c r="Q36" t="s">
        <v>530</v>
      </c>
      <c r="R36">
        <v>10090970</v>
      </c>
      <c r="W36" s="1">
        <v>46133</v>
      </c>
      <c r="X36" t="s">
        <v>773</v>
      </c>
      <c r="Y36" t="s">
        <v>774</v>
      </c>
      <c r="Z36" t="s">
        <v>775</v>
      </c>
      <c r="AA36" t="s">
        <v>776</v>
      </c>
      <c r="AB36" t="s">
        <v>777</v>
      </c>
    </row>
    <row r="37" spans="3:28" x14ac:dyDescent="0.25">
      <c r="C37" s="1">
        <v>46134</v>
      </c>
      <c r="D37" t="s">
        <v>282</v>
      </c>
      <c r="E37" t="s">
        <v>283</v>
      </c>
      <c r="F37" t="s">
        <v>284</v>
      </c>
      <c r="G37" t="s">
        <v>285</v>
      </c>
      <c r="H37" t="s">
        <v>286</v>
      </c>
      <c r="M37" s="1">
        <v>46134</v>
      </c>
      <c r="N37" t="s">
        <v>531</v>
      </c>
      <c r="O37" t="s">
        <v>532</v>
      </c>
      <c r="P37" t="s">
        <v>533</v>
      </c>
      <c r="Q37" t="s">
        <v>534</v>
      </c>
      <c r="R37">
        <v>9616542</v>
      </c>
      <c r="W37" s="1">
        <v>46134</v>
      </c>
      <c r="X37" t="s">
        <v>778</v>
      </c>
      <c r="Y37" t="s">
        <v>779</v>
      </c>
      <c r="Z37" t="s">
        <v>780</v>
      </c>
      <c r="AA37" t="s">
        <v>781</v>
      </c>
      <c r="AB37" t="s">
        <v>782</v>
      </c>
    </row>
    <row r="38" spans="3:28" x14ac:dyDescent="0.25">
      <c r="C38" s="1">
        <v>46135</v>
      </c>
      <c r="D38" t="s">
        <v>287</v>
      </c>
      <c r="E38" t="s">
        <v>287</v>
      </c>
      <c r="F38" t="s">
        <v>288</v>
      </c>
      <c r="G38" t="s">
        <v>289</v>
      </c>
      <c r="H38" t="s">
        <v>290</v>
      </c>
      <c r="M38" s="1">
        <v>46135</v>
      </c>
      <c r="N38" t="s">
        <v>535</v>
      </c>
      <c r="O38" t="s">
        <v>535</v>
      </c>
      <c r="P38" t="s">
        <v>536</v>
      </c>
      <c r="Q38" t="s">
        <v>537</v>
      </c>
      <c r="R38">
        <v>10037206</v>
      </c>
      <c r="W38" s="1">
        <v>46135</v>
      </c>
      <c r="X38" t="s">
        <v>783</v>
      </c>
      <c r="Y38" t="s">
        <v>784</v>
      </c>
      <c r="Z38" t="s">
        <v>785</v>
      </c>
      <c r="AA38" t="s">
        <v>786</v>
      </c>
      <c r="AB38" t="s">
        <v>787</v>
      </c>
    </row>
    <row r="39" spans="3:28" x14ac:dyDescent="0.25">
      <c r="C39" s="1">
        <v>46136</v>
      </c>
      <c r="D39" t="s">
        <v>291</v>
      </c>
      <c r="E39" t="s">
        <v>292</v>
      </c>
      <c r="F39" t="s">
        <v>293</v>
      </c>
      <c r="G39" t="s">
        <v>294</v>
      </c>
      <c r="H39" t="s">
        <v>295</v>
      </c>
      <c r="M39" s="1">
        <v>46136</v>
      </c>
      <c r="N39" t="s">
        <v>538</v>
      </c>
      <c r="O39" t="s">
        <v>538</v>
      </c>
      <c r="P39" t="s">
        <v>539</v>
      </c>
      <c r="Q39" t="s">
        <v>540</v>
      </c>
      <c r="R39">
        <v>7740518</v>
      </c>
      <c r="W39" s="1">
        <v>46136</v>
      </c>
      <c r="X39" t="s">
        <v>788</v>
      </c>
      <c r="Y39" t="s">
        <v>789</v>
      </c>
      <c r="Z39" t="s">
        <v>790</v>
      </c>
      <c r="AA39" t="s">
        <v>791</v>
      </c>
      <c r="AB39" t="s">
        <v>792</v>
      </c>
    </row>
    <row r="40" spans="3:28" x14ac:dyDescent="0.25">
      <c r="C40" s="1">
        <v>46139</v>
      </c>
      <c r="D40" t="s">
        <v>296</v>
      </c>
      <c r="E40" t="s">
        <v>296</v>
      </c>
      <c r="F40" t="s">
        <v>297</v>
      </c>
      <c r="G40" t="s">
        <v>298</v>
      </c>
      <c r="H40" t="s">
        <v>299</v>
      </c>
      <c r="M40" s="1">
        <v>46139</v>
      </c>
      <c r="N40" t="s">
        <v>541</v>
      </c>
      <c r="O40" t="s">
        <v>541</v>
      </c>
      <c r="P40" t="s">
        <v>542</v>
      </c>
      <c r="Q40" t="s">
        <v>543</v>
      </c>
      <c r="R40">
        <v>7910045</v>
      </c>
      <c r="W40" s="1">
        <v>46139</v>
      </c>
      <c r="X40" t="s">
        <v>793</v>
      </c>
      <c r="Y40" t="s">
        <v>794</v>
      </c>
      <c r="Z40" t="s">
        <v>795</v>
      </c>
      <c r="AA40" t="s">
        <v>796</v>
      </c>
      <c r="AB40" t="s">
        <v>797</v>
      </c>
    </row>
    <row r="41" spans="3:28" x14ac:dyDescent="0.25">
      <c r="C41" s="1">
        <v>46140</v>
      </c>
      <c r="D41" t="s">
        <v>300</v>
      </c>
      <c r="E41" t="s">
        <v>301</v>
      </c>
      <c r="F41" t="s">
        <v>302</v>
      </c>
      <c r="G41" t="s">
        <v>303</v>
      </c>
      <c r="H41" t="s">
        <v>304</v>
      </c>
      <c r="M41" s="1">
        <v>46140</v>
      </c>
      <c r="N41" t="s">
        <v>544</v>
      </c>
      <c r="O41" t="s">
        <v>545</v>
      </c>
      <c r="P41" t="s">
        <v>546</v>
      </c>
      <c r="Q41" t="s">
        <v>547</v>
      </c>
      <c r="R41">
        <v>10192255</v>
      </c>
      <c r="W41" s="1">
        <v>46140</v>
      </c>
      <c r="X41" t="s">
        <v>798</v>
      </c>
      <c r="Y41" t="s">
        <v>799</v>
      </c>
      <c r="Z41" t="s">
        <v>800</v>
      </c>
      <c r="AA41" t="s">
        <v>801</v>
      </c>
      <c r="AB41" t="s">
        <v>802</v>
      </c>
    </row>
    <row r="42" spans="3:28" x14ac:dyDescent="0.25">
      <c r="C42" s="1">
        <v>46141</v>
      </c>
      <c r="D42" t="s">
        <v>305</v>
      </c>
      <c r="E42" t="s">
        <v>306</v>
      </c>
      <c r="F42" t="s">
        <v>307</v>
      </c>
      <c r="G42" t="s">
        <v>308</v>
      </c>
      <c r="H42" t="s">
        <v>309</v>
      </c>
      <c r="M42" s="1">
        <v>46141</v>
      </c>
      <c r="N42" t="s">
        <v>548</v>
      </c>
      <c r="O42" t="s">
        <v>549</v>
      </c>
      <c r="P42" t="s">
        <v>550</v>
      </c>
      <c r="Q42" t="s">
        <v>551</v>
      </c>
      <c r="R42">
        <v>11169440</v>
      </c>
      <c r="W42" s="1">
        <v>46141</v>
      </c>
      <c r="X42" t="s">
        <v>803</v>
      </c>
      <c r="Y42" t="s">
        <v>804</v>
      </c>
      <c r="Z42" t="s">
        <v>805</v>
      </c>
      <c r="AA42" t="s">
        <v>806</v>
      </c>
      <c r="AB42" t="s">
        <v>807</v>
      </c>
    </row>
    <row r="43" spans="3:28" x14ac:dyDescent="0.25">
      <c r="C43" s="1">
        <v>46142</v>
      </c>
      <c r="D43" t="s">
        <v>310</v>
      </c>
      <c r="E43" t="s">
        <v>311</v>
      </c>
      <c r="F43" t="s">
        <v>312</v>
      </c>
      <c r="G43" t="s">
        <v>313</v>
      </c>
      <c r="H43" t="s">
        <v>314</v>
      </c>
      <c r="M43" s="1">
        <v>46142</v>
      </c>
      <c r="N43" t="s">
        <v>552</v>
      </c>
      <c r="O43" t="s">
        <v>552</v>
      </c>
      <c r="P43" t="s">
        <v>553</v>
      </c>
      <c r="Q43" t="s">
        <v>554</v>
      </c>
      <c r="R43">
        <v>9972410</v>
      </c>
      <c r="W43" s="1">
        <v>46142</v>
      </c>
      <c r="X43" t="s">
        <v>808</v>
      </c>
      <c r="Y43" t="s">
        <v>809</v>
      </c>
      <c r="Z43" t="s">
        <v>810</v>
      </c>
      <c r="AA43" t="s">
        <v>811</v>
      </c>
      <c r="AB43" t="s">
        <v>812</v>
      </c>
    </row>
    <row r="44" spans="3:28" x14ac:dyDescent="0.25">
      <c r="C44" s="1">
        <v>46146</v>
      </c>
      <c r="D44" t="s">
        <v>315</v>
      </c>
      <c r="E44" t="s">
        <v>316</v>
      </c>
      <c r="F44" t="s">
        <v>317</v>
      </c>
      <c r="G44" t="s">
        <v>318</v>
      </c>
      <c r="H44" t="s">
        <v>319</v>
      </c>
      <c r="M44" s="1">
        <v>46146</v>
      </c>
      <c r="N44" t="s">
        <v>555</v>
      </c>
      <c r="O44" t="s">
        <v>556</v>
      </c>
      <c r="P44" t="s">
        <v>557</v>
      </c>
      <c r="Q44" t="s">
        <v>558</v>
      </c>
      <c r="R44">
        <v>9323453</v>
      </c>
      <c r="W44" s="1">
        <v>46146</v>
      </c>
      <c r="X44" t="s">
        <v>813</v>
      </c>
      <c r="Y44" t="s">
        <v>814</v>
      </c>
      <c r="Z44" t="s">
        <v>815</v>
      </c>
      <c r="AA44" t="s">
        <v>816</v>
      </c>
      <c r="AB44" t="s">
        <v>817</v>
      </c>
    </row>
    <row r="45" spans="3:28" x14ac:dyDescent="0.25">
      <c r="C45" s="1">
        <v>46147</v>
      </c>
      <c r="D45" t="s">
        <v>320</v>
      </c>
      <c r="E45" t="s">
        <v>321</v>
      </c>
      <c r="F45" t="s">
        <v>322</v>
      </c>
      <c r="G45" t="s">
        <v>321</v>
      </c>
      <c r="H45" t="s">
        <v>323</v>
      </c>
      <c r="M45" s="1">
        <v>46147</v>
      </c>
      <c r="N45" t="s">
        <v>559</v>
      </c>
      <c r="O45" t="s">
        <v>560</v>
      </c>
      <c r="P45" t="s">
        <v>561</v>
      </c>
      <c r="Q45" t="s">
        <v>560</v>
      </c>
      <c r="R45">
        <v>12654238</v>
      </c>
      <c r="W45" s="1">
        <v>46147</v>
      </c>
      <c r="X45" t="s">
        <v>818</v>
      </c>
      <c r="Y45" t="s">
        <v>819</v>
      </c>
      <c r="Z45" t="s">
        <v>820</v>
      </c>
      <c r="AA45" t="s">
        <v>821</v>
      </c>
      <c r="AB45" t="s">
        <v>822</v>
      </c>
    </row>
    <row r="46" spans="3:28" x14ac:dyDescent="0.25">
      <c r="C46" s="1">
        <v>46148</v>
      </c>
      <c r="D46" t="s">
        <v>324</v>
      </c>
      <c r="E46" t="s">
        <v>325</v>
      </c>
      <c r="F46" t="s">
        <v>326</v>
      </c>
      <c r="G46" t="s">
        <v>327</v>
      </c>
      <c r="H46" t="s">
        <v>328</v>
      </c>
      <c r="M46" s="1">
        <v>46148</v>
      </c>
      <c r="N46" t="s">
        <v>562</v>
      </c>
      <c r="O46" t="s">
        <v>563</v>
      </c>
      <c r="P46" t="s">
        <v>564</v>
      </c>
      <c r="Q46" t="s">
        <v>565</v>
      </c>
      <c r="R46">
        <v>11712754</v>
      </c>
      <c r="W46" s="1">
        <v>46148</v>
      </c>
      <c r="X46" t="s">
        <v>823</v>
      </c>
      <c r="Y46" t="s">
        <v>824</v>
      </c>
      <c r="Z46" t="s">
        <v>823</v>
      </c>
      <c r="AA46" t="s">
        <v>825</v>
      </c>
      <c r="AB46" t="s">
        <v>826</v>
      </c>
    </row>
    <row r="47" spans="3:28" x14ac:dyDescent="0.25">
      <c r="C47" s="1">
        <v>46149</v>
      </c>
      <c r="D47" t="s">
        <v>329</v>
      </c>
      <c r="E47" t="s">
        <v>330</v>
      </c>
      <c r="F47" t="s">
        <v>331</v>
      </c>
      <c r="G47" t="s">
        <v>332</v>
      </c>
      <c r="H47" t="s">
        <v>333</v>
      </c>
      <c r="M47" s="1">
        <v>46149</v>
      </c>
      <c r="N47" t="s">
        <v>566</v>
      </c>
      <c r="O47" t="s">
        <v>566</v>
      </c>
      <c r="P47" t="s">
        <v>567</v>
      </c>
      <c r="Q47" t="s">
        <v>568</v>
      </c>
      <c r="R47">
        <v>8961926</v>
      </c>
      <c r="W47" s="1">
        <v>46149</v>
      </c>
      <c r="X47" t="s">
        <v>827</v>
      </c>
      <c r="Y47" t="s">
        <v>828</v>
      </c>
      <c r="Z47" t="s">
        <v>829</v>
      </c>
      <c r="AA47" t="s">
        <v>829</v>
      </c>
      <c r="AB47" t="s">
        <v>830</v>
      </c>
    </row>
    <row r="48" spans="3:28" x14ac:dyDescent="0.25">
      <c r="C48" s="1">
        <v>46150</v>
      </c>
      <c r="D48" t="s">
        <v>334</v>
      </c>
      <c r="E48" t="s">
        <v>334</v>
      </c>
      <c r="F48" t="s">
        <v>335</v>
      </c>
      <c r="G48" t="s">
        <v>336</v>
      </c>
      <c r="H48" t="s">
        <v>337</v>
      </c>
      <c r="M48" s="1">
        <v>46150</v>
      </c>
      <c r="N48" t="s">
        <v>569</v>
      </c>
      <c r="O48" t="s">
        <v>569</v>
      </c>
      <c r="P48" t="s">
        <v>570</v>
      </c>
      <c r="Q48" t="s">
        <v>570</v>
      </c>
      <c r="R48">
        <v>6598483</v>
      </c>
      <c r="W48" s="1">
        <v>46150</v>
      </c>
      <c r="X48" t="s">
        <v>831</v>
      </c>
      <c r="Y48" t="s">
        <v>831</v>
      </c>
      <c r="Z48" t="s">
        <v>832</v>
      </c>
      <c r="AA48" t="s">
        <v>833</v>
      </c>
      <c r="AB48" t="s">
        <v>834</v>
      </c>
    </row>
    <row r="49" spans="3:28" x14ac:dyDescent="0.25">
      <c r="C49" s="1">
        <v>46153</v>
      </c>
      <c r="D49" t="s">
        <v>338</v>
      </c>
      <c r="E49" t="s">
        <v>339</v>
      </c>
      <c r="F49" t="s">
        <v>340</v>
      </c>
      <c r="G49" t="s">
        <v>341</v>
      </c>
      <c r="H49" t="s">
        <v>342</v>
      </c>
      <c r="M49" s="1">
        <v>46153</v>
      </c>
      <c r="N49" t="s">
        <v>571</v>
      </c>
      <c r="O49" t="s">
        <v>572</v>
      </c>
      <c r="P49" t="s">
        <v>573</v>
      </c>
      <c r="Q49" t="s">
        <v>574</v>
      </c>
      <c r="R49">
        <v>6360182</v>
      </c>
      <c r="W49" s="1">
        <v>46153</v>
      </c>
      <c r="X49" t="s">
        <v>835</v>
      </c>
      <c r="Y49" t="s">
        <v>836</v>
      </c>
      <c r="Z49" t="s">
        <v>837</v>
      </c>
      <c r="AA49" t="s">
        <v>838</v>
      </c>
      <c r="AB49" t="s">
        <v>839</v>
      </c>
    </row>
    <row r="50" spans="3:28" x14ac:dyDescent="0.25">
      <c r="C50" s="1">
        <v>46154</v>
      </c>
      <c r="D50" t="s">
        <v>343</v>
      </c>
      <c r="E50" t="s">
        <v>343</v>
      </c>
      <c r="F50" t="s">
        <v>344</v>
      </c>
      <c r="G50" t="s">
        <v>345</v>
      </c>
      <c r="H50" t="s">
        <v>346</v>
      </c>
      <c r="M50" s="1">
        <v>46154</v>
      </c>
      <c r="N50" t="s">
        <v>575</v>
      </c>
      <c r="O50" t="s">
        <v>575</v>
      </c>
      <c r="P50" t="s">
        <v>576</v>
      </c>
      <c r="Q50" t="s">
        <v>577</v>
      </c>
      <c r="R50">
        <v>9001179</v>
      </c>
      <c r="W50" s="1">
        <v>46154</v>
      </c>
      <c r="X50" t="s">
        <v>840</v>
      </c>
      <c r="Y50" t="s">
        <v>841</v>
      </c>
      <c r="Z50" t="s">
        <v>842</v>
      </c>
      <c r="AA50" t="s">
        <v>843</v>
      </c>
      <c r="AB50" t="s">
        <v>844</v>
      </c>
    </row>
    <row r="51" spans="3:28" x14ac:dyDescent="0.25">
      <c r="C51" s="1">
        <v>46155</v>
      </c>
      <c r="D51" t="s">
        <v>347</v>
      </c>
      <c r="E51" t="s">
        <v>348</v>
      </c>
      <c r="F51" t="s">
        <v>349</v>
      </c>
      <c r="G51" t="s">
        <v>350</v>
      </c>
      <c r="H51" t="s">
        <v>351</v>
      </c>
      <c r="M51" s="1">
        <v>46155</v>
      </c>
      <c r="N51" t="s">
        <v>578</v>
      </c>
      <c r="O51" t="s">
        <v>579</v>
      </c>
      <c r="P51" t="s">
        <v>580</v>
      </c>
      <c r="Q51" t="s">
        <v>581</v>
      </c>
      <c r="R51">
        <v>7457959</v>
      </c>
      <c r="W51" s="1">
        <v>46155</v>
      </c>
      <c r="X51" t="s">
        <v>845</v>
      </c>
      <c r="Y51" t="s">
        <v>846</v>
      </c>
      <c r="Z51" t="s">
        <v>847</v>
      </c>
      <c r="AA51" t="s">
        <v>846</v>
      </c>
      <c r="AB51" t="s">
        <v>848</v>
      </c>
    </row>
    <row r="52" spans="3:28" x14ac:dyDescent="0.25">
      <c r="C52" s="1">
        <v>46156</v>
      </c>
      <c r="D52" t="s">
        <v>352</v>
      </c>
      <c r="E52" t="s">
        <v>353</v>
      </c>
      <c r="F52" t="s">
        <v>354</v>
      </c>
      <c r="G52" t="s">
        <v>355</v>
      </c>
      <c r="H52" t="s">
        <v>356</v>
      </c>
      <c r="M52" s="1">
        <v>46156</v>
      </c>
      <c r="N52" t="s">
        <v>582</v>
      </c>
      <c r="O52" t="s">
        <v>583</v>
      </c>
      <c r="P52" t="s">
        <v>584</v>
      </c>
      <c r="Q52" t="s">
        <v>585</v>
      </c>
      <c r="R52">
        <v>7861024</v>
      </c>
      <c r="W52" s="1">
        <v>46156</v>
      </c>
      <c r="X52" t="s">
        <v>849</v>
      </c>
      <c r="Y52" t="s">
        <v>850</v>
      </c>
      <c r="Z52" t="s">
        <v>851</v>
      </c>
      <c r="AA52" t="s">
        <v>852</v>
      </c>
      <c r="AB52" t="s">
        <v>853</v>
      </c>
    </row>
    <row r="53" spans="3:28" x14ac:dyDescent="0.25">
      <c r="C53" s="1">
        <v>46157</v>
      </c>
      <c r="D53" t="s">
        <v>357</v>
      </c>
      <c r="E53" t="s">
        <v>358</v>
      </c>
      <c r="F53" t="s">
        <v>359</v>
      </c>
      <c r="G53" t="s">
        <v>360</v>
      </c>
      <c r="H53" t="s">
        <v>361</v>
      </c>
      <c r="M53" s="1">
        <v>46157</v>
      </c>
      <c r="N53" t="s">
        <v>586</v>
      </c>
      <c r="O53" t="s">
        <v>586</v>
      </c>
      <c r="P53" t="s">
        <v>587</v>
      </c>
      <c r="Q53" t="s">
        <v>588</v>
      </c>
      <c r="R53">
        <v>7702471</v>
      </c>
      <c r="W53" s="1">
        <v>46157</v>
      </c>
      <c r="X53" t="s">
        <v>854</v>
      </c>
      <c r="Y53" t="s">
        <v>854</v>
      </c>
      <c r="Z53" t="s">
        <v>855</v>
      </c>
      <c r="AA53" t="s">
        <v>856</v>
      </c>
      <c r="AB53" t="s">
        <v>857</v>
      </c>
    </row>
    <row r="54" spans="3:28" x14ac:dyDescent="0.25">
      <c r="C54" s="1">
        <v>46160</v>
      </c>
      <c r="D54" t="s">
        <v>362</v>
      </c>
      <c r="E54" t="s">
        <v>363</v>
      </c>
      <c r="F54" t="s">
        <v>364</v>
      </c>
      <c r="G54" t="s">
        <v>365</v>
      </c>
      <c r="H54" t="s">
        <v>366</v>
      </c>
      <c r="M54" s="1">
        <v>46160</v>
      </c>
      <c r="N54" t="s">
        <v>589</v>
      </c>
      <c r="O54" t="s">
        <v>590</v>
      </c>
      <c r="P54" t="s">
        <v>591</v>
      </c>
      <c r="Q54" t="s">
        <v>592</v>
      </c>
      <c r="R54">
        <v>6574902</v>
      </c>
      <c r="W54" s="1">
        <v>46160</v>
      </c>
      <c r="X54" t="s">
        <v>858</v>
      </c>
      <c r="Y54" t="s">
        <v>859</v>
      </c>
      <c r="Z54" t="s">
        <v>860</v>
      </c>
      <c r="AA54" t="s">
        <v>861</v>
      </c>
      <c r="AB54" t="s">
        <v>862</v>
      </c>
    </row>
    <row r="55" spans="3:28" x14ac:dyDescent="0.25">
      <c r="C55" s="1">
        <v>46161</v>
      </c>
      <c r="D55" t="s">
        <v>367</v>
      </c>
      <c r="E55" t="s">
        <v>368</v>
      </c>
      <c r="F55" t="s">
        <v>369</v>
      </c>
      <c r="G55" t="s">
        <v>370</v>
      </c>
      <c r="H55" t="s">
        <v>371</v>
      </c>
      <c r="M55" s="1">
        <v>46161</v>
      </c>
      <c r="N55" t="s">
        <v>593</v>
      </c>
      <c r="O55" t="s">
        <v>593</v>
      </c>
      <c r="P55" t="s">
        <v>594</v>
      </c>
      <c r="Q55" t="s">
        <v>595</v>
      </c>
      <c r="R55">
        <v>7544785</v>
      </c>
      <c r="W55" s="1">
        <v>46161</v>
      </c>
      <c r="X55" t="s">
        <v>863</v>
      </c>
      <c r="Y55" t="s">
        <v>864</v>
      </c>
      <c r="Z55" t="s">
        <v>865</v>
      </c>
      <c r="AA55" t="s">
        <v>866</v>
      </c>
      <c r="AB55" t="s">
        <v>867</v>
      </c>
    </row>
    <row r="56" spans="3:28" x14ac:dyDescent="0.25">
      <c r="C56" s="1">
        <v>46162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M56" s="1">
        <v>46162</v>
      </c>
      <c r="N56" t="s">
        <v>596</v>
      </c>
      <c r="O56" t="s">
        <v>597</v>
      </c>
      <c r="P56" t="s">
        <v>598</v>
      </c>
      <c r="Q56" t="s">
        <v>599</v>
      </c>
      <c r="R56">
        <v>6042225</v>
      </c>
      <c r="W56" s="1">
        <v>46162</v>
      </c>
      <c r="X56" t="s">
        <v>868</v>
      </c>
      <c r="Y56" t="s">
        <v>869</v>
      </c>
      <c r="Z56" t="s">
        <v>870</v>
      </c>
      <c r="AA56" t="s">
        <v>869</v>
      </c>
      <c r="AB56" t="s">
        <v>871</v>
      </c>
    </row>
    <row r="57" spans="3:28" x14ac:dyDescent="0.25">
      <c r="C57" s="1">
        <v>46163</v>
      </c>
      <c r="D57" t="s">
        <v>377</v>
      </c>
      <c r="E57" t="s">
        <v>378</v>
      </c>
      <c r="F57" t="s">
        <v>379</v>
      </c>
      <c r="G57" t="s">
        <v>380</v>
      </c>
      <c r="H57" t="s">
        <v>381</v>
      </c>
      <c r="M57" s="1">
        <v>46163</v>
      </c>
      <c r="N57" t="s">
        <v>600</v>
      </c>
      <c r="O57" t="s">
        <v>601</v>
      </c>
      <c r="P57" t="s">
        <v>602</v>
      </c>
      <c r="Q57" t="s">
        <v>603</v>
      </c>
      <c r="R57">
        <v>7191890</v>
      </c>
      <c r="W57" s="1">
        <v>46163</v>
      </c>
      <c r="X57" t="s">
        <v>872</v>
      </c>
      <c r="Y57" t="s">
        <v>873</v>
      </c>
      <c r="Z57" t="s">
        <v>874</v>
      </c>
      <c r="AA57" t="s">
        <v>875</v>
      </c>
      <c r="AB57" t="s">
        <v>876</v>
      </c>
    </row>
    <row r="58" spans="3:28" x14ac:dyDescent="0.25">
      <c r="C58" s="1">
        <v>46164</v>
      </c>
      <c r="D58" t="s">
        <v>382</v>
      </c>
      <c r="E58" t="s">
        <v>383</v>
      </c>
      <c r="F58" t="s">
        <v>384</v>
      </c>
      <c r="G58" t="s">
        <v>385</v>
      </c>
      <c r="H58" t="s">
        <v>386</v>
      </c>
      <c r="M58" s="1">
        <v>46164</v>
      </c>
      <c r="N58" t="s">
        <v>604</v>
      </c>
      <c r="O58" t="s">
        <v>605</v>
      </c>
      <c r="P58" t="s">
        <v>606</v>
      </c>
      <c r="Q58" t="s">
        <v>605</v>
      </c>
      <c r="R58">
        <v>8233816</v>
      </c>
      <c r="W58" s="1">
        <v>46164</v>
      </c>
      <c r="X58" t="s">
        <v>877</v>
      </c>
      <c r="Y58" t="s">
        <v>878</v>
      </c>
      <c r="Z58" t="s">
        <v>879</v>
      </c>
      <c r="AA58" t="s">
        <v>878</v>
      </c>
      <c r="AB58" t="s">
        <v>880</v>
      </c>
    </row>
    <row r="59" spans="3:28" x14ac:dyDescent="0.25">
      <c r="C59" s="1">
        <v>46167</v>
      </c>
      <c r="D59" t="s">
        <v>387</v>
      </c>
      <c r="E59" t="s">
        <v>388</v>
      </c>
      <c r="F59" t="s">
        <v>387</v>
      </c>
      <c r="G59" t="s">
        <v>389</v>
      </c>
      <c r="H59" t="s">
        <v>390</v>
      </c>
      <c r="M59" s="1">
        <v>46167</v>
      </c>
      <c r="N59" t="s">
        <v>607</v>
      </c>
      <c r="O59" t="s">
        <v>608</v>
      </c>
      <c r="P59" t="s">
        <v>609</v>
      </c>
      <c r="Q59" t="s">
        <v>608</v>
      </c>
      <c r="R59">
        <v>6920967</v>
      </c>
      <c r="W59" s="1">
        <v>46167</v>
      </c>
      <c r="X59" t="s">
        <v>881</v>
      </c>
      <c r="Y59" t="s">
        <v>882</v>
      </c>
      <c r="Z59" t="s">
        <v>883</v>
      </c>
      <c r="AA59" t="s">
        <v>884</v>
      </c>
      <c r="AB59" t="s">
        <v>885</v>
      </c>
    </row>
    <row r="60" spans="3:28" x14ac:dyDescent="0.25">
      <c r="C60" s="1">
        <v>46168</v>
      </c>
      <c r="D60" t="s">
        <v>391</v>
      </c>
      <c r="E60" t="s">
        <v>392</v>
      </c>
      <c r="F60" t="s">
        <v>393</v>
      </c>
      <c r="G60" t="s">
        <v>393</v>
      </c>
      <c r="H60" t="s">
        <v>394</v>
      </c>
      <c r="M60" s="1">
        <v>46168</v>
      </c>
      <c r="N60" t="s">
        <v>610</v>
      </c>
      <c r="O60" t="s">
        <v>611</v>
      </c>
      <c r="P60" t="s">
        <v>612</v>
      </c>
      <c r="Q60" t="s">
        <v>613</v>
      </c>
      <c r="R60">
        <v>7131814</v>
      </c>
      <c r="W60" s="1">
        <v>46168</v>
      </c>
      <c r="X60" t="s">
        <v>886</v>
      </c>
      <c r="Y60" t="s">
        <v>887</v>
      </c>
      <c r="Z60" t="s">
        <v>888</v>
      </c>
      <c r="AA60" t="s">
        <v>889</v>
      </c>
      <c r="AB60" t="s">
        <v>890</v>
      </c>
    </row>
    <row r="61" spans="3:28" x14ac:dyDescent="0.25">
      <c r="C61" s="1">
        <v>46169</v>
      </c>
      <c r="D61" t="s">
        <v>395</v>
      </c>
      <c r="E61" t="s">
        <v>396</v>
      </c>
      <c r="F61" t="s">
        <v>397</v>
      </c>
      <c r="G61" t="s">
        <v>397</v>
      </c>
      <c r="H61" t="s">
        <v>398</v>
      </c>
      <c r="M61" s="1">
        <v>46169</v>
      </c>
      <c r="N61" t="s">
        <v>614</v>
      </c>
      <c r="O61" t="s">
        <v>615</v>
      </c>
      <c r="P61" t="s">
        <v>616</v>
      </c>
      <c r="Q61" t="s">
        <v>616</v>
      </c>
      <c r="R61">
        <v>7154521</v>
      </c>
      <c r="W61" s="1">
        <v>46169</v>
      </c>
      <c r="X61" t="s">
        <v>891</v>
      </c>
      <c r="Y61" t="s">
        <v>891</v>
      </c>
      <c r="Z61" t="s">
        <v>892</v>
      </c>
      <c r="AA61" t="s">
        <v>893</v>
      </c>
      <c r="AB61" t="s">
        <v>894</v>
      </c>
    </row>
    <row r="62" spans="3:28" x14ac:dyDescent="0.25">
      <c r="C62" s="1">
        <v>46170</v>
      </c>
      <c r="D62" t="s">
        <v>399</v>
      </c>
      <c r="E62" t="s">
        <v>400</v>
      </c>
      <c r="F62" t="s">
        <v>401</v>
      </c>
      <c r="G62" t="s">
        <v>402</v>
      </c>
      <c r="H62" t="s">
        <v>403</v>
      </c>
      <c r="M62" s="1">
        <v>46170</v>
      </c>
      <c r="N62" t="s">
        <v>617</v>
      </c>
      <c r="O62" t="s">
        <v>618</v>
      </c>
      <c r="P62" t="s">
        <v>619</v>
      </c>
      <c r="Q62" t="s">
        <v>620</v>
      </c>
      <c r="R62">
        <v>7066384</v>
      </c>
      <c r="W62" s="1">
        <v>46170</v>
      </c>
      <c r="X62" t="s">
        <v>895</v>
      </c>
      <c r="Y62" t="s">
        <v>896</v>
      </c>
      <c r="Z62" t="s">
        <v>897</v>
      </c>
      <c r="AA62" t="s">
        <v>896</v>
      </c>
      <c r="AB62" t="s">
        <v>898</v>
      </c>
    </row>
    <row r="63" spans="3:28" x14ac:dyDescent="0.25">
      <c r="C63" s="1">
        <v>46171</v>
      </c>
      <c r="D63" t="s">
        <v>404</v>
      </c>
      <c r="E63" t="s">
        <v>405</v>
      </c>
      <c r="F63" t="s">
        <v>406</v>
      </c>
      <c r="G63" t="s">
        <v>407</v>
      </c>
      <c r="H63" t="s">
        <v>408</v>
      </c>
      <c r="M63" s="1">
        <v>46171</v>
      </c>
      <c r="N63" t="s">
        <v>621</v>
      </c>
      <c r="O63" t="s">
        <v>622</v>
      </c>
      <c r="P63" t="s">
        <v>623</v>
      </c>
      <c r="Q63" t="s">
        <v>624</v>
      </c>
      <c r="R63">
        <v>13748471</v>
      </c>
      <c r="W63" s="1">
        <v>46171</v>
      </c>
      <c r="X63" t="s">
        <v>899</v>
      </c>
      <c r="Y63" t="s">
        <v>900</v>
      </c>
      <c r="Z63" t="s">
        <v>901</v>
      </c>
      <c r="AA63" t="s">
        <v>902</v>
      </c>
      <c r="AB63" t="s">
        <v>903</v>
      </c>
    </row>
    <row r="64" spans="3:28" x14ac:dyDescent="0.25">
      <c r="C64" s="1">
        <v>46174</v>
      </c>
      <c r="D64" t="s">
        <v>409</v>
      </c>
      <c r="E64" t="s">
        <v>409</v>
      </c>
      <c r="F64" t="s">
        <v>410</v>
      </c>
      <c r="G64" t="s">
        <v>410</v>
      </c>
      <c r="H64" t="s">
        <v>411</v>
      </c>
      <c r="M64" s="1">
        <v>46174</v>
      </c>
      <c r="N64" t="s">
        <v>625</v>
      </c>
      <c r="O64" t="s">
        <v>626</v>
      </c>
      <c r="P64" t="s">
        <v>627</v>
      </c>
      <c r="Q64" t="s">
        <v>628</v>
      </c>
      <c r="R64">
        <v>13734737</v>
      </c>
      <c r="W64" s="1">
        <v>46174</v>
      </c>
      <c r="X64" t="s">
        <v>904</v>
      </c>
      <c r="Y64" t="s">
        <v>905</v>
      </c>
      <c r="Z64" t="s">
        <v>906</v>
      </c>
      <c r="AA64" t="s">
        <v>907</v>
      </c>
      <c r="AB64" t="s">
        <v>908</v>
      </c>
    </row>
    <row r="65" spans="2:28" x14ac:dyDescent="0.25">
      <c r="C65" s="1">
        <v>46175</v>
      </c>
      <c r="D65" t="s">
        <v>412</v>
      </c>
      <c r="E65" t="s">
        <v>413</v>
      </c>
      <c r="F65" t="s">
        <v>414</v>
      </c>
      <c r="G65" t="s">
        <v>415</v>
      </c>
      <c r="H65" t="s">
        <v>416</v>
      </c>
      <c r="M65" s="1">
        <v>46175</v>
      </c>
      <c r="N65" t="s">
        <v>629</v>
      </c>
      <c r="O65" t="s">
        <v>630</v>
      </c>
      <c r="P65" t="s">
        <v>629</v>
      </c>
      <c r="Q65" t="s">
        <v>631</v>
      </c>
      <c r="R65">
        <v>18902408</v>
      </c>
      <c r="W65" s="1">
        <v>46175</v>
      </c>
      <c r="X65" t="s">
        <v>909</v>
      </c>
      <c r="Y65" t="s">
        <v>910</v>
      </c>
      <c r="Z65" t="s">
        <v>911</v>
      </c>
      <c r="AA65" t="s">
        <v>912</v>
      </c>
      <c r="AB65" t="s">
        <v>913</v>
      </c>
    </row>
    <row r="66" spans="2:28" x14ac:dyDescent="0.25">
      <c r="B66" s="2"/>
      <c r="C66" s="3"/>
      <c r="D66" s="2"/>
      <c r="E66" s="2"/>
      <c r="F66" s="2"/>
      <c r="G66" s="2"/>
      <c r="H66" s="2"/>
      <c r="I66" s="2"/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99411A41-1B61-48C8-BBF0-172D5C8CC986}">
          <xm:f>Raw_GPW!1:1048576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EB2F-65D8-45EF-BAB3-4EA1A7B42C38}">
  <dimension ref="D3:S66"/>
  <sheetViews>
    <sheetView zoomScale="55" zoomScaleNormal="55" workbookViewId="0">
      <selection activeCell="R5" sqref="R5:S66"/>
    </sheetView>
  </sheetViews>
  <sheetFormatPr defaultColWidth="8.85546875" defaultRowHeight="15" x14ac:dyDescent="0.25"/>
  <cols>
    <col min="4" max="4" width="14.42578125" bestFit="1" customWidth="1"/>
    <col min="5" max="5" width="15" bestFit="1" customWidth="1"/>
    <col min="6" max="6" width="6.85546875" bestFit="1" customWidth="1"/>
    <col min="11" max="11" width="14.42578125" bestFit="1" customWidth="1"/>
    <col min="12" max="12" width="15" bestFit="1" customWidth="1"/>
    <col min="13" max="13" width="6.85546875" bestFit="1" customWidth="1"/>
    <col min="18" max="18" width="10.140625" bestFit="1" customWidth="1"/>
    <col min="19" max="19" width="7.140625" bestFit="1" customWidth="1"/>
  </cols>
  <sheetData>
    <row r="3" spans="4:19" x14ac:dyDescent="0.25">
      <c r="D3" t="s">
        <v>125</v>
      </c>
      <c r="K3" t="s">
        <v>126</v>
      </c>
      <c r="R3" t="s">
        <v>129</v>
      </c>
    </row>
    <row r="5" spans="4:19" x14ac:dyDescent="0.25">
      <c r="D5" t="s">
        <v>0</v>
      </c>
      <c r="E5" t="s">
        <v>1</v>
      </c>
      <c r="F5" t="s">
        <v>2</v>
      </c>
      <c r="K5" t="s">
        <v>0</v>
      </c>
      <c r="L5" t="s">
        <v>1</v>
      </c>
      <c r="M5" t="s">
        <v>2</v>
      </c>
      <c r="R5" t="s">
        <v>127</v>
      </c>
      <c r="S5" t="s">
        <v>128</v>
      </c>
    </row>
    <row r="6" spans="4:19" x14ac:dyDescent="0.25">
      <c r="D6" t="s">
        <v>3</v>
      </c>
      <c r="E6" t="s">
        <v>4</v>
      </c>
      <c r="F6">
        <v>3.6962000000000002</v>
      </c>
      <c r="K6" t="s">
        <v>3</v>
      </c>
      <c r="L6" t="s">
        <v>4</v>
      </c>
      <c r="M6">
        <v>4.2782</v>
      </c>
      <c r="R6" t="s">
        <v>4</v>
      </c>
      <c r="S6">
        <v>609.99</v>
      </c>
    </row>
    <row r="7" spans="4:19" x14ac:dyDescent="0.25">
      <c r="D7" t="s">
        <v>5</v>
      </c>
      <c r="E7" t="s">
        <v>6</v>
      </c>
      <c r="F7">
        <v>3.7075</v>
      </c>
      <c r="K7" t="s">
        <v>5</v>
      </c>
      <c r="L7" t="s">
        <v>6</v>
      </c>
      <c r="M7">
        <v>4.2835999999999999</v>
      </c>
      <c r="R7" t="s">
        <v>6</v>
      </c>
      <c r="S7">
        <v>604.25</v>
      </c>
    </row>
    <row r="8" spans="4:19" x14ac:dyDescent="0.25">
      <c r="D8" t="s">
        <v>7</v>
      </c>
      <c r="E8" t="s">
        <v>8</v>
      </c>
      <c r="F8">
        <v>3.6522999999999999</v>
      </c>
      <c r="K8" t="s">
        <v>7</v>
      </c>
      <c r="L8" t="s">
        <v>8</v>
      </c>
      <c r="M8">
        <v>4.2554999999999996</v>
      </c>
      <c r="R8" t="s">
        <v>8</v>
      </c>
      <c r="S8">
        <v>608.44000000000005</v>
      </c>
    </row>
    <row r="9" spans="4:19" x14ac:dyDescent="0.25">
      <c r="D9" t="s">
        <v>9</v>
      </c>
      <c r="E9" t="s">
        <v>10</v>
      </c>
      <c r="F9">
        <v>3.6869999999999998</v>
      </c>
      <c r="K9" t="s">
        <v>9</v>
      </c>
      <c r="L9" t="s">
        <v>10</v>
      </c>
      <c r="M9">
        <v>4.274</v>
      </c>
      <c r="R9" t="s">
        <v>10</v>
      </c>
      <c r="S9">
        <v>608.47</v>
      </c>
    </row>
    <row r="10" spans="4:19" x14ac:dyDescent="0.25">
      <c r="D10" t="s">
        <v>11</v>
      </c>
      <c r="E10" t="s">
        <v>12</v>
      </c>
      <c r="F10">
        <v>3.6878000000000002</v>
      </c>
      <c r="K10" t="s">
        <v>11</v>
      </c>
      <c r="L10" t="s">
        <v>12</v>
      </c>
      <c r="M10">
        <v>4.2629000000000001</v>
      </c>
      <c r="R10" t="s">
        <v>12</v>
      </c>
      <c r="S10">
        <v>614.84</v>
      </c>
    </row>
    <row r="11" spans="4:19" x14ac:dyDescent="0.25">
      <c r="D11" t="s">
        <v>13</v>
      </c>
      <c r="E11" t="s">
        <v>14</v>
      </c>
      <c r="F11">
        <v>3.7277</v>
      </c>
      <c r="K11" t="s">
        <v>13</v>
      </c>
      <c r="L11" t="s">
        <v>14</v>
      </c>
      <c r="M11">
        <v>4.2693000000000003</v>
      </c>
      <c r="R11" t="s">
        <v>14</v>
      </c>
      <c r="S11">
        <v>615.04999999999995</v>
      </c>
    </row>
    <row r="12" spans="4:19" x14ac:dyDescent="0.25">
      <c r="D12" t="s">
        <v>15</v>
      </c>
      <c r="E12" t="s">
        <v>16</v>
      </c>
      <c r="F12">
        <v>3.7286999999999999</v>
      </c>
      <c r="K12" t="s">
        <v>15</v>
      </c>
      <c r="L12" t="s">
        <v>16</v>
      </c>
      <c r="M12">
        <v>4.2694000000000001</v>
      </c>
      <c r="R12" t="s">
        <v>16</v>
      </c>
      <c r="S12">
        <v>609.89</v>
      </c>
    </row>
    <row r="13" spans="4:19" x14ac:dyDescent="0.25">
      <c r="D13" t="s">
        <v>17</v>
      </c>
      <c r="E13" t="s">
        <v>18</v>
      </c>
      <c r="F13">
        <v>3.7046000000000001</v>
      </c>
      <c r="K13" t="s">
        <v>17</v>
      </c>
      <c r="L13" t="s">
        <v>18</v>
      </c>
      <c r="M13">
        <v>4.2666000000000004</v>
      </c>
      <c r="R13" t="s">
        <v>18</v>
      </c>
      <c r="S13">
        <v>596.33000000000004</v>
      </c>
    </row>
    <row r="14" spans="4:19" x14ac:dyDescent="0.25">
      <c r="D14" t="s">
        <v>19</v>
      </c>
      <c r="E14" t="s">
        <v>20</v>
      </c>
      <c r="F14">
        <v>3.6930000000000001</v>
      </c>
      <c r="K14" t="s">
        <v>19</v>
      </c>
      <c r="L14" t="s">
        <v>20</v>
      </c>
      <c r="M14">
        <v>4.2613000000000003</v>
      </c>
      <c r="R14" t="s">
        <v>20</v>
      </c>
      <c r="S14">
        <v>596.66</v>
      </c>
    </row>
    <row r="15" spans="4:19" x14ac:dyDescent="0.25">
      <c r="D15" t="s">
        <v>21</v>
      </c>
      <c r="E15" t="s">
        <v>22</v>
      </c>
      <c r="F15">
        <v>3.7269999999999999</v>
      </c>
      <c r="K15" t="s">
        <v>21</v>
      </c>
      <c r="L15" t="s">
        <v>22</v>
      </c>
      <c r="M15">
        <v>4.2782</v>
      </c>
      <c r="R15" t="s">
        <v>22</v>
      </c>
      <c r="S15">
        <v>592.62</v>
      </c>
    </row>
    <row r="16" spans="4:19" x14ac:dyDescent="0.25">
      <c r="D16" t="s">
        <v>23</v>
      </c>
      <c r="E16" t="s">
        <v>24</v>
      </c>
      <c r="F16">
        <v>3.7031999999999998</v>
      </c>
      <c r="K16" t="s">
        <v>23</v>
      </c>
      <c r="L16" t="s">
        <v>24</v>
      </c>
      <c r="M16">
        <v>4.2767999999999997</v>
      </c>
      <c r="R16" t="s">
        <v>24</v>
      </c>
      <c r="S16">
        <v>562.92999999999995</v>
      </c>
    </row>
    <row r="17" spans="4:19" x14ac:dyDescent="0.25">
      <c r="D17" t="s">
        <v>25</v>
      </c>
      <c r="E17" t="s">
        <v>26</v>
      </c>
      <c r="F17">
        <v>3.7292000000000001</v>
      </c>
      <c r="K17" t="s">
        <v>25</v>
      </c>
      <c r="L17" t="s">
        <v>26</v>
      </c>
      <c r="M17">
        <v>4.2866999999999997</v>
      </c>
      <c r="R17" t="s">
        <v>26</v>
      </c>
      <c r="S17">
        <v>555.59</v>
      </c>
    </row>
    <row r="18" spans="4:19" x14ac:dyDescent="0.25">
      <c r="D18" t="s">
        <v>27</v>
      </c>
      <c r="E18" t="s">
        <v>28</v>
      </c>
      <c r="F18">
        <v>3.6850000000000001</v>
      </c>
      <c r="K18" t="s">
        <v>27</v>
      </c>
      <c r="L18" t="s">
        <v>28</v>
      </c>
      <c r="M18">
        <v>4.2728000000000002</v>
      </c>
      <c r="R18" t="s">
        <v>28</v>
      </c>
      <c r="S18">
        <v>509.82</v>
      </c>
    </row>
    <row r="19" spans="4:19" x14ac:dyDescent="0.25">
      <c r="D19" t="s">
        <v>29</v>
      </c>
      <c r="E19" t="s">
        <v>30</v>
      </c>
      <c r="F19">
        <v>3.6802999999999999</v>
      </c>
      <c r="K19" t="s">
        <v>29</v>
      </c>
      <c r="L19" t="s">
        <v>30</v>
      </c>
      <c r="M19">
        <v>4.2691999999999997</v>
      </c>
      <c r="R19" t="s">
        <v>30</v>
      </c>
      <c r="S19">
        <v>524.34</v>
      </c>
    </row>
    <row r="20" spans="4:19" x14ac:dyDescent="0.25">
      <c r="D20" t="s">
        <v>31</v>
      </c>
      <c r="E20" t="s">
        <v>32</v>
      </c>
      <c r="F20">
        <v>3.6947999999999999</v>
      </c>
      <c r="K20" t="s">
        <v>31</v>
      </c>
      <c r="L20" t="s">
        <v>32</v>
      </c>
      <c r="M20">
        <v>4.2709999999999999</v>
      </c>
      <c r="R20" t="s">
        <v>32</v>
      </c>
      <c r="S20">
        <v>538.46</v>
      </c>
    </row>
    <row r="21" spans="4:19" x14ac:dyDescent="0.25">
      <c r="D21" t="s">
        <v>33</v>
      </c>
      <c r="E21" t="s">
        <v>34</v>
      </c>
      <c r="F21">
        <v>3.7206000000000001</v>
      </c>
      <c r="K21" t="s">
        <v>33</v>
      </c>
      <c r="L21" t="s">
        <v>34</v>
      </c>
      <c r="M21">
        <v>4.2858000000000001</v>
      </c>
      <c r="R21" t="s">
        <v>34</v>
      </c>
      <c r="S21">
        <v>525.4</v>
      </c>
    </row>
    <row r="22" spans="4:19" x14ac:dyDescent="0.25">
      <c r="D22" t="s">
        <v>35</v>
      </c>
      <c r="E22" t="s">
        <v>36</v>
      </c>
      <c r="F22">
        <v>3.7256999999999998</v>
      </c>
      <c r="K22" t="s">
        <v>35</v>
      </c>
      <c r="L22" t="s">
        <v>36</v>
      </c>
      <c r="M22">
        <v>4.2831999999999999</v>
      </c>
      <c r="R22" t="s">
        <v>36</v>
      </c>
      <c r="S22">
        <v>529.66</v>
      </c>
    </row>
    <row r="23" spans="4:19" x14ac:dyDescent="0.25">
      <c r="D23" t="s">
        <v>37</v>
      </c>
      <c r="E23" t="s">
        <v>38</v>
      </c>
      <c r="F23">
        <v>3.7408000000000001</v>
      </c>
      <c r="K23" t="s">
        <v>37</v>
      </c>
      <c r="L23" t="s">
        <v>38</v>
      </c>
      <c r="M23">
        <v>4.2893999999999997</v>
      </c>
      <c r="R23" t="s">
        <v>38</v>
      </c>
      <c r="S23">
        <v>543.51</v>
      </c>
    </row>
    <row r="24" spans="4:19" x14ac:dyDescent="0.25">
      <c r="D24" t="s">
        <v>39</v>
      </c>
      <c r="E24" t="s">
        <v>40</v>
      </c>
      <c r="F24">
        <v>3.6972</v>
      </c>
      <c r="K24" t="s">
        <v>39</v>
      </c>
      <c r="L24" t="s">
        <v>40</v>
      </c>
      <c r="M24">
        <v>4.2873999999999999</v>
      </c>
      <c r="R24" t="s">
        <v>40</v>
      </c>
      <c r="S24">
        <v>549.34</v>
      </c>
    </row>
    <row r="25" spans="4:19" x14ac:dyDescent="0.25">
      <c r="D25" t="s">
        <v>41</v>
      </c>
      <c r="E25" t="s">
        <v>42</v>
      </c>
      <c r="F25">
        <v>3.7195</v>
      </c>
      <c r="K25" t="s">
        <v>41</v>
      </c>
      <c r="L25" t="s">
        <v>42</v>
      </c>
      <c r="M25">
        <v>4.2869000000000002</v>
      </c>
      <c r="R25" t="s">
        <v>42</v>
      </c>
      <c r="S25">
        <v>561.97</v>
      </c>
    </row>
    <row r="26" spans="4:19" x14ac:dyDescent="0.25">
      <c r="D26" t="s">
        <v>43</v>
      </c>
      <c r="E26" t="s">
        <v>44</v>
      </c>
      <c r="F26">
        <v>3.7058</v>
      </c>
      <c r="K26" t="s">
        <v>43</v>
      </c>
      <c r="L26" t="s">
        <v>44</v>
      </c>
      <c r="M26">
        <v>4.2775999999999996</v>
      </c>
      <c r="R26" t="s">
        <v>44</v>
      </c>
      <c r="S26">
        <v>552.46</v>
      </c>
    </row>
    <row r="27" spans="4:19" x14ac:dyDescent="0.25">
      <c r="D27" t="s">
        <v>45</v>
      </c>
      <c r="E27" t="s">
        <v>46</v>
      </c>
      <c r="F27">
        <v>3.6888000000000001</v>
      </c>
      <c r="K27" t="s">
        <v>45</v>
      </c>
      <c r="L27" t="s">
        <v>46</v>
      </c>
      <c r="M27">
        <v>4.2694000000000001</v>
      </c>
      <c r="R27" t="s">
        <v>46</v>
      </c>
      <c r="S27">
        <v>557.13</v>
      </c>
    </row>
    <row r="28" spans="4:19" x14ac:dyDescent="0.25">
      <c r="D28" t="s">
        <v>47</v>
      </c>
      <c r="E28" t="s">
        <v>48</v>
      </c>
      <c r="F28">
        <v>3.6488999999999998</v>
      </c>
      <c r="K28" t="s">
        <v>47</v>
      </c>
      <c r="L28" t="s">
        <v>48</v>
      </c>
      <c r="M28">
        <v>4.2622999999999998</v>
      </c>
      <c r="R28" t="s">
        <v>48</v>
      </c>
      <c r="S28">
        <v>555.24</v>
      </c>
    </row>
    <row r="29" spans="4:19" x14ac:dyDescent="0.25">
      <c r="D29" t="s">
        <v>49</v>
      </c>
      <c r="E29" t="s">
        <v>50</v>
      </c>
      <c r="F29">
        <v>3.6505999999999998</v>
      </c>
      <c r="K29" t="s">
        <v>49</v>
      </c>
      <c r="L29" t="s">
        <v>50</v>
      </c>
      <c r="M29">
        <v>4.2610000000000001</v>
      </c>
      <c r="R29" t="s">
        <v>50</v>
      </c>
      <c r="S29">
        <v>562.26</v>
      </c>
    </row>
    <row r="30" spans="4:19" x14ac:dyDescent="0.25">
      <c r="D30" t="s">
        <v>51</v>
      </c>
      <c r="E30" t="s">
        <v>52</v>
      </c>
      <c r="F30">
        <v>3.6396000000000002</v>
      </c>
      <c r="K30" t="s">
        <v>51</v>
      </c>
      <c r="L30" t="s">
        <v>52</v>
      </c>
      <c r="M30">
        <v>4.2534000000000001</v>
      </c>
      <c r="R30" t="s">
        <v>52</v>
      </c>
      <c r="S30">
        <v>554.6</v>
      </c>
    </row>
    <row r="31" spans="4:19" x14ac:dyDescent="0.25">
      <c r="D31" t="s">
        <v>53</v>
      </c>
      <c r="E31" t="s">
        <v>54</v>
      </c>
      <c r="F31">
        <v>3.6374</v>
      </c>
      <c r="K31" t="s">
        <v>53</v>
      </c>
      <c r="L31" t="s">
        <v>54</v>
      </c>
      <c r="M31">
        <v>4.2507000000000001</v>
      </c>
      <c r="R31" t="s">
        <v>54</v>
      </c>
      <c r="S31">
        <v>554.64</v>
      </c>
    </row>
    <row r="32" spans="4:19" x14ac:dyDescent="0.25">
      <c r="D32" t="s">
        <v>55</v>
      </c>
      <c r="E32" t="s">
        <v>56</v>
      </c>
      <c r="F32">
        <v>3.6015000000000001</v>
      </c>
      <c r="K32" t="s">
        <v>55</v>
      </c>
      <c r="L32" t="s">
        <v>56</v>
      </c>
      <c r="M32">
        <v>4.2435999999999998</v>
      </c>
      <c r="R32" t="s">
        <v>56</v>
      </c>
      <c r="S32">
        <v>552.27</v>
      </c>
    </row>
    <row r="33" spans="4:19" x14ac:dyDescent="0.25">
      <c r="D33" t="s">
        <v>57</v>
      </c>
      <c r="E33" t="s">
        <v>58</v>
      </c>
      <c r="F33">
        <v>3.5939000000000001</v>
      </c>
      <c r="K33" t="s">
        <v>57</v>
      </c>
      <c r="L33" t="s">
        <v>58</v>
      </c>
      <c r="M33">
        <v>4.2370000000000001</v>
      </c>
      <c r="R33" t="s">
        <v>58</v>
      </c>
      <c r="S33">
        <v>554.13</v>
      </c>
    </row>
    <row r="34" spans="4:19" x14ac:dyDescent="0.25">
      <c r="D34" t="s">
        <v>59</v>
      </c>
      <c r="E34" t="s">
        <v>60</v>
      </c>
      <c r="F34">
        <v>3.5983000000000001</v>
      </c>
      <c r="K34" t="s">
        <v>59</v>
      </c>
      <c r="L34" t="s">
        <v>60</v>
      </c>
      <c r="M34">
        <v>4.2411000000000003</v>
      </c>
      <c r="R34" t="s">
        <v>60</v>
      </c>
      <c r="S34">
        <v>556.66</v>
      </c>
    </row>
    <row r="35" spans="4:19" x14ac:dyDescent="0.25">
      <c r="D35" t="s">
        <v>61</v>
      </c>
      <c r="E35" t="s">
        <v>62</v>
      </c>
      <c r="F35">
        <v>3.5912000000000002</v>
      </c>
      <c r="K35" t="s">
        <v>61</v>
      </c>
      <c r="L35" t="s">
        <v>62</v>
      </c>
      <c r="M35">
        <v>4.2355</v>
      </c>
      <c r="R35" t="s">
        <v>62</v>
      </c>
      <c r="S35">
        <v>556.79999999999995</v>
      </c>
    </row>
    <row r="36" spans="4:19" x14ac:dyDescent="0.25">
      <c r="D36" t="s">
        <v>63</v>
      </c>
      <c r="E36" t="s">
        <v>64</v>
      </c>
      <c r="F36">
        <v>3.6004999999999998</v>
      </c>
      <c r="K36" t="s">
        <v>63</v>
      </c>
      <c r="L36" t="s">
        <v>64</v>
      </c>
      <c r="M36">
        <v>4.2346000000000004</v>
      </c>
      <c r="R36" t="s">
        <v>64</v>
      </c>
      <c r="S36">
        <v>553.66</v>
      </c>
    </row>
    <row r="37" spans="4:19" x14ac:dyDescent="0.25">
      <c r="D37" t="s">
        <v>65</v>
      </c>
      <c r="E37" t="s">
        <v>66</v>
      </c>
      <c r="F37">
        <v>3.597</v>
      </c>
      <c r="K37" t="s">
        <v>65</v>
      </c>
      <c r="L37" t="s">
        <v>66</v>
      </c>
      <c r="M37">
        <v>4.2320000000000002</v>
      </c>
      <c r="R37" t="s">
        <v>66</v>
      </c>
      <c r="S37">
        <v>555.09</v>
      </c>
    </row>
    <row r="38" spans="4:19" x14ac:dyDescent="0.25">
      <c r="D38" t="s">
        <v>67</v>
      </c>
      <c r="E38" t="s">
        <v>68</v>
      </c>
      <c r="F38">
        <v>3.6080000000000001</v>
      </c>
      <c r="K38" t="s">
        <v>67</v>
      </c>
      <c r="L38" t="s">
        <v>68</v>
      </c>
      <c r="M38">
        <v>4.2408000000000001</v>
      </c>
      <c r="R38" t="s">
        <v>68</v>
      </c>
      <c r="S38">
        <v>553.4</v>
      </c>
    </row>
    <row r="39" spans="4:19" x14ac:dyDescent="0.25">
      <c r="D39" t="s">
        <v>69</v>
      </c>
      <c r="E39" t="s">
        <v>70</v>
      </c>
      <c r="F39">
        <v>3.6320999999999999</v>
      </c>
      <c r="K39" t="s">
        <v>69</v>
      </c>
      <c r="L39" t="s">
        <v>70</v>
      </c>
      <c r="M39">
        <v>4.2500999999999998</v>
      </c>
      <c r="R39" t="s">
        <v>70</v>
      </c>
      <c r="S39">
        <v>551.74</v>
      </c>
    </row>
    <row r="40" spans="4:19" x14ac:dyDescent="0.25">
      <c r="D40" t="s">
        <v>71</v>
      </c>
      <c r="E40" t="s">
        <v>72</v>
      </c>
      <c r="F40">
        <v>3.6294</v>
      </c>
      <c r="K40" t="s">
        <v>71</v>
      </c>
      <c r="L40" t="s">
        <v>72</v>
      </c>
      <c r="M40">
        <v>4.2427999999999999</v>
      </c>
      <c r="R40" t="s">
        <v>72</v>
      </c>
      <c r="S40">
        <v>549.14</v>
      </c>
    </row>
    <row r="41" spans="4:19" x14ac:dyDescent="0.25">
      <c r="D41" t="s">
        <v>73</v>
      </c>
      <c r="E41" t="s">
        <v>74</v>
      </c>
      <c r="F41">
        <v>3.613</v>
      </c>
      <c r="K41" t="s">
        <v>73</v>
      </c>
      <c r="L41" t="s">
        <v>74</v>
      </c>
      <c r="M41">
        <v>4.2445000000000004</v>
      </c>
      <c r="R41" t="s">
        <v>74</v>
      </c>
      <c r="S41">
        <v>547.28</v>
      </c>
    </row>
    <row r="42" spans="4:19" x14ac:dyDescent="0.25">
      <c r="D42" t="s">
        <v>75</v>
      </c>
      <c r="E42" t="s">
        <v>76</v>
      </c>
      <c r="F42">
        <v>3.6293000000000002</v>
      </c>
      <c r="K42" t="s">
        <v>75</v>
      </c>
      <c r="L42" t="s">
        <v>76</v>
      </c>
      <c r="M42">
        <v>4.2469999999999999</v>
      </c>
      <c r="R42" t="s">
        <v>76</v>
      </c>
      <c r="S42">
        <v>546.61</v>
      </c>
    </row>
    <row r="43" spans="4:19" x14ac:dyDescent="0.25">
      <c r="D43" t="s">
        <v>77</v>
      </c>
      <c r="E43" t="s">
        <v>78</v>
      </c>
      <c r="F43">
        <v>3.6356000000000002</v>
      </c>
      <c r="K43" t="s">
        <v>77</v>
      </c>
      <c r="L43" t="s">
        <v>78</v>
      </c>
      <c r="M43">
        <v>4.2537000000000003</v>
      </c>
      <c r="R43" t="s">
        <v>78</v>
      </c>
      <c r="S43">
        <v>540.11</v>
      </c>
    </row>
    <row r="44" spans="4:19" x14ac:dyDescent="0.25">
      <c r="D44" t="s">
        <v>79</v>
      </c>
      <c r="E44" t="s">
        <v>80</v>
      </c>
      <c r="F44">
        <v>3.6459999999999999</v>
      </c>
      <c r="K44" t="s">
        <v>79</v>
      </c>
      <c r="L44" t="s">
        <v>80</v>
      </c>
      <c r="M44">
        <v>4.2588999999999997</v>
      </c>
      <c r="R44" t="s">
        <v>80</v>
      </c>
      <c r="S44">
        <v>534.42999999999995</v>
      </c>
    </row>
    <row r="45" spans="4:19" x14ac:dyDescent="0.25">
      <c r="D45" t="s">
        <v>81</v>
      </c>
      <c r="E45" t="s">
        <v>82</v>
      </c>
      <c r="F45">
        <v>3.6303000000000001</v>
      </c>
      <c r="K45" t="s">
        <v>81</v>
      </c>
      <c r="L45" t="s">
        <v>82</v>
      </c>
      <c r="M45">
        <v>4.2544000000000004</v>
      </c>
      <c r="R45" t="s">
        <v>82</v>
      </c>
      <c r="S45">
        <v>540.99</v>
      </c>
    </row>
    <row r="46" spans="4:19" x14ac:dyDescent="0.25">
      <c r="D46" t="s">
        <v>83</v>
      </c>
      <c r="E46" t="s">
        <v>84</v>
      </c>
      <c r="F46">
        <v>3.6402999999999999</v>
      </c>
      <c r="K46" t="s">
        <v>83</v>
      </c>
      <c r="L46" t="s">
        <v>84</v>
      </c>
      <c r="M46">
        <v>4.2550999999999997</v>
      </c>
      <c r="R46" t="s">
        <v>84</v>
      </c>
      <c r="S46">
        <v>534.09</v>
      </c>
    </row>
    <row r="47" spans="4:19" x14ac:dyDescent="0.25">
      <c r="D47" t="s">
        <v>85</v>
      </c>
      <c r="E47" t="s">
        <v>86</v>
      </c>
      <c r="F47">
        <v>3.6004999999999998</v>
      </c>
      <c r="K47" t="s">
        <v>85</v>
      </c>
      <c r="L47" t="s">
        <v>86</v>
      </c>
      <c r="M47">
        <v>4.2351000000000001</v>
      </c>
      <c r="R47" t="s">
        <v>86</v>
      </c>
      <c r="S47">
        <v>533.41</v>
      </c>
    </row>
    <row r="48" spans="4:19" x14ac:dyDescent="0.25">
      <c r="D48" t="s">
        <v>87</v>
      </c>
      <c r="E48" t="s">
        <v>88</v>
      </c>
      <c r="F48">
        <v>3.5920999999999998</v>
      </c>
      <c r="K48" t="s">
        <v>87</v>
      </c>
      <c r="L48" t="s">
        <v>88</v>
      </c>
      <c r="M48">
        <v>4.2286000000000001</v>
      </c>
      <c r="R48" t="s">
        <v>88</v>
      </c>
      <c r="S48">
        <v>544</v>
      </c>
    </row>
    <row r="49" spans="4:19" x14ac:dyDescent="0.25">
      <c r="D49" t="s">
        <v>89</v>
      </c>
      <c r="E49" t="s">
        <v>90</v>
      </c>
      <c r="F49">
        <v>3.5947</v>
      </c>
      <c r="K49" t="s">
        <v>89</v>
      </c>
      <c r="L49" t="s">
        <v>90</v>
      </c>
      <c r="M49">
        <v>4.2283999999999997</v>
      </c>
      <c r="R49" t="s">
        <v>90</v>
      </c>
      <c r="S49">
        <v>546.29</v>
      </c>
    </row>
    <row r="50" spans="4:19" x14ac:dyDescent="0.25">
      <c r="D50" t="s">
        <v>91</v>
      </c>
      <c r="E50" t="s">
        <v>92</v>
      </c>
      <c r="F50">
        <v>3.6006999999999998</v>
      </c>
      <c r="K50" t="s">
        <v>91</v>
      </c>
      <c r="L50" t="s">
        <v>92</v>
      </c>
      <c r="M50">
        <v>4.2385999999999999</v>
      </c>
      <c r="R50" t="s">
        <v>92</v>
      </c>
      <c r="S50">
        <v>544.91999999999996</v>
      </c>
    </row>
    <row r="51" spans="4:19" x14ac:dyDescent="0.25">
      <c r="D51" t="s">
        <v>93</v>
      </c>
      <c r="E51" t="s">
        <v>94</v>
      </c>
      <c r="F51">
        <v>3.6166999999999998</v>
      </c>
      <c r="K51" t="s">
        <v>93</v>
      </c>
      <c r="L51" t="s">
        <v>94</v>
      </c>
      <c r="M51">
        <v>4.2477999999999998</v>
      </c>
      <c r="R51" t="s">
        <v>94</v>
      </c>
      <c r="S51">
        <v>540.25</v>
      </c>
    </row>
    <row r="52" spans="4:19" x14ac:dyDescent="0.25">
      <c r="D52" t="s">
        <v>95</v>
      </c>
      <c r="E52" t="s">
        <v>96</v>
      </c>
      <c r="F52">
        <v>3.6335999999999999</v>
      </c>
      <c r="K52" t="s">
        <v>95</v>
      </c>
      <c r="L52" t="s">
        <v>96</v>
      </c>
      <c r="M52">
        <v>4.2523999999999997</v>
      </c>
      <c r="R52" t="s">
        <v>96</v>
      </c>
      <c r="S52">
        <v>546.80999999999995</v>
      </c>
    </row>
    <row r="53" spans="4:19" x14ac:dyDescent="0.25">
      <c r="D53" t="s">
        <v>97</v>
      </c>
      <c r="E53" t="s">
        <v>98</v>
      </c>
      <c r="F53">
        <v>3.6204999999999998</v>
      </c>
      <c r="K53" t="s">
        <v>97</v>
      </c>
      <c r="L53" t="s">
        <v>98</v>
      </c>
      <c r="M53">
        <v>4.2401</v>
      </c>
      <c r="R53" t="s">
        <v>98</v>
      </c>
      <c r="S53">
        <v>549.04</v>
      </c>
    </row>
    <row r="54" spans="4:19" x14ac:dyDescent="0.25">
      <c r="D54" t="s">
        <v>99</v>
      </c>
      <c r="E54" t="s">
        <v>100</v>
      </c>
      <c r="F54">
        <v>3.6524999999999999</v>
      </c>
      <c r="K54" t="s">
        <v>99</v>
      </c>
      <c r="L54" t="s">
        <v>100</v>
      </c>
      <c r="M54">
        <v>4.2488999999999999</v>
      </c>
      <c r="R54" t="s">
        <v>100</v>
      </c>
      <c r="S54">
        <v>546.22</v>
      </c>
    </row>
    <row r="55" spans="4:19" x14ac:dyDescent="0.25">
      <c r="D55" t="s">
        <v>101</v>
      </c>
      <c r="E55" t="s">
        <v>102</v>
      </c>
      <c r="F55">
        <v>3.6450999999999998</v>
      </c>
      <c r="K55" t="s">
        <v>101</v>
      </c>
      <c r="L55" t="s">
        <v>102</v>
      </c>
      <c r="M55">
        <v>4.2434000000000003</v>
      </c>
      <c r="R55" t="s">
        <v>102</v>
      </c>
      <c r="S55">
        <v>534.69000000000005</v>
      </c>
    </row>
    <row r="56" spans="4:19" x14ac:dyDescent="0.25">
      <c r="D56" t="s">
        <v>103</v>
      </c>
      <c r="E56" t="s">
        <v>104</v>
      </c>
      <c r="F56">
        <v>3.6467000000000001</v>
      </c>
      <c r="K56" t="s">
        <v>103</v>
      </c>
      <c r="L56" t="s">
        <v>104</v>
      </c>
      <c r="M56">
        <v>4.2389000000000001</v>
      </c>
      <c r="R56" t="s">
        <v>104</v>
      </c>
      <c r="S56">
        <v>533.1</v>
      </c>
    </row>
    <row r="57" spans="4:19" x14ac:dyDescent="0.25">
      <c r="D57" t="s">
        <v>105</v>
      </c>
      <c r="E57" t="s">
        <v>106</v>
      </c>
      <c r="F57">
        <v>3.6709000000000001</v>
      </c>
      <c r="K57" t="s">
        <v>105</v>
      </c>
      <c r="L57" t="s">
        <v>106</v>
      </c>
      <c r="M57">
        <v>4.2545999999999999</v>
      </c>
      <c r="R57" t="s">
        <v>106</v>
      </c>
      <c r="S57">
        <v>532.49</v>
      </c>
    </row>
    <row r="58" spans="4:19" x14ac:dyDescent="0.25">
      <c r="D58" t="s">
        <v>107</v>
      </c>
      <c r="E58" t="s">
        <v>108</v>
      </c>
      <c r="F58">
        <v>3.6528999999999998</v>
      </c>
      <c r="K58" t="s">
        <v>107</v>
      </c>
      <c r="L58" t="s">
        <v>108</v>
      </c>
      <c r="M58">
        <v>4.2460000000000004</v>
      </c>
      <c r="R58" t="s">
        <v>108</v>
      </c>
      <c r="S58">
        <v>529.09</v>
      </c>
    </row>
    <row r="59" spans="4:19" x14ac:dyDescent="0.25">
      <c r="D59" t="s">
        <v>109</v>
      </c>
      <c r="E59" t="s">
        <v>110</v>
      </c>
      <c r="F59">
        <v>3.6570999999999998</v>
      </c>
      <c r="K59" t="s">
        <v>109</v>
      </c>
      <c r="L59" t="s">
        <v>110</v>
      </c>
      <c r="M59">
        <v>4.2453000000000003</v>
      </c>
      <c r="R59" t="s">
        <v>110</v>
      </c>
      <c r="S59">
        <v>532.19000000000005</v>
      </c>
    </row>
    <row r="60" spans="4:19" x14ac:dyDescent="0.25">
      <c r="D60" t="s">
        <v>111</v>
      </c>
      <c r="E60" t="s">
        <v>112</v>
      </c>
      <c r="F60">
        <v>3.6374</v>
      </c>
      <c r="K60" t="s">
        <v>111</v>
      </c>
      <c r="L60" t="s">
        <v>112</v>
      </c>
      <c r="M60">
        <v>4.2351999999999999</v>
      </c>
      <c r="R60" t="s">
        <v>112</v>
      </c>
      <c r="S60">
        <v>531.55999999999995</v>
      </c>
    </row>
    <row r="61" spans="4:19" x14ac:dyDescent="0.25">
      <c r="D61" t="s">
        <v>113</v>
      </c>
      <c r="E61" t="s">
        <v>114</v>
      </c>
      <c r="F61">
        <v>3.6394000000000002</v>
      </c>
      <c r="K61" t="s">
        <v>113</v>
      </c>
      <c r="L61" t="s">
        <v>114</v>
      </c>
      <c r="M61">
        <v>4.2351999999999999</v>
      </c>
      <c r="R61" t="s">
        <v>114</v>
      </c>
      <c r="S61">
        <v>532.66</v>
      </c>
    </row>
    <row r="62" spans="4:19" x14ac:dyDescent="0.25">
      <c r="D62" t="s">
        <v>115</v>
      </c>
      <c r="E62" t="s">
        <v>116</v>
      </c>
      <c r="F62">
        <v>3.6404000000000001</v>
      </c>
      <c r="K62" t="s">
        <v>115</v>
      </c>
      <c r="L62" t="s">
        <v>116</v>
      </c>
      <c r="M62">
        <v>4.2393000000000001</v>
      </c>
      <c r="R62" t="s">
        <v>116</v>
      </c>
      <c r="S62">
        <v>529.21</v>
      </c>
    </row>
    <row r="63" spans="4:19" x14ac:dyDescent="0.25">
      <c r="D63" t="s">
        <v>117</v>
      </c>
      <c r="E63" t="s">
        <v>118</v>
      </c>
      <c r="F63">
        <v>3.6463000000000001</v>
      </c>
      <c r="K63" t="s">
        <v>117</v>
      </c>
      <c r="L63" t="s">
        <v>118</v>
      </c>
      <c r="M63">
        <v>4.2355</v>
      </c>
      <c r="R63" t="s">
        <v>118</v>
      </c>
      <c r="S63">
        <v>526.29</v>
      </c>
    </row>
    <row r="64" spans="4:19" x14ac:dyDescent="0.25">
      <c r="D64" t="s">
        <v>119</v>
      </c>
      <c r="E64" t="s">
        <v>120</v>
      </c>
      <c r="F64">
        <v>3.6395</v>
      </c>
      <c r="K64" t="s">
        <v>119</v>
      </c>
      <c r="L64" t="s">
        <v>120</v>
      </c>
      <c r="M64">
        <v>4.2321999999999997</v>
      </c>
      <c r="R64" t="s">
        <v>120</v>
      </c>
      <c r="S64">
        <v>514.16</v>
      </c>
    </row>
    <row r="65" spans="4:19" x14ac:dyDescent="0.25">
      <c r="D65" t="s">
        <v>121</v>
      </c>
      <c r="E65" t="s">
        <v>122</v>
      </c>
      <c r="F65">
        <v>3.6318999999999999</v>
      </c>
      <c r="K65" t="s">
        <v>121</v>
      </c>
      <c r="L65" t="s">
        <v>122</v>
      </c>
      <c r="M65">
        <v>4.2340999999999998</v>
      </c>
      <c r="R65" t="s">
        <v>122</v>
      </c>
      <c r="S65">
        <v>528.20000000000005</v>
      </c>
    </row>
    <row r="66" spans="4:19" x14ac:dyDescent="0.25">
      <c r="D66" t="s">
        <v>123</v>
      </c>
      <c r="E66" t="s">
        <v>124</v>
      </c>
      <c r="F66">
        <v>3.6358000000000001</v>
      </c>
      <c r="K66" t="s">
        <v>123</v>
      </c>
      <c r="L66" t="s">
        <v>124</v>
      </c>
      <c r="M66">
        <v>4.2333999999999996</v>
      </c>
      <c r="R66" t="s">
        <v>124</v>
      </c>
      <c r="S66">
        <v>525.1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CA2D-9F2E-4BA5-A2ED-12D66E71D0E8}">
  <dimension ref="G3:O63"/>
  <sheetViews>
    <sheetView topLeftCell="C37" zoomScale="85" zoomScaleNormal="85" workbookViewId="0">
      <selection activeCell="AA11" sqref="AA11"/>
    </sheetView>
  </sheetViews>
  <sheetFormatPr defaultColWidth="8.85546875" defaultRowHeight="15" x14ac:dyDescent="0.25"/>
  <cols>
    <col min="7" max="7" width="11.5703125" style="1" bestFit="1" customWidth="1"/>
    <col min="8" max="8" width="8.85546875" style="11"/>
    <col min="11" max="11" width="8.28515625" bestFit="1" customWidth="1"/>
    <col min="15" max="15" width="4.42578125" style="12" hidden="1" customWidth="1"/>
  </cols>
  <sheetData>
    <row r="3" spans="7:15" x14ac:dyDescent="0.25">
      <c r="G3" t="s">
        <v>914</v>
      </c>
      <c r="H3" t="s">
        <v>417</v>
      </c>
      <c r="I3" t="s">
        <v>915</v>
      </c>
      <c r="J3" t="s">
        <v>916</v>
      </c>
      <c r="K3" t="s">
        <v>917</v>
      </c>
      <c r="L3" t="s">
        <v>918</v>
      </c>
      <c r="M3" t="s">
        <v>919</v>
      </c>
      <c r="O3" s="12" t="s">
        <v>972</v>
      </c>
    </row>
    <row r="4" spans="7:15" x14ac:dyDescent="0.25">
      <c r="G4" s="1">
        <f>Raw_GPW!C6</f>
        <v>46087</v>
      </c>
      <c r="H4" s="11" t="str">
        <f>Raw_GPW!G6</f>
        <v>3262.33</v>
      </c>
      <c r="I4" t="str">
        <f>_xlfn.XLOOKUP(G4,Raw_GPW!M:M,Raw_GPW!Q:Q,"")</f>
        <v>8516.38</v>
      </c>
      <c r="J4" t="str">
        <f>_xlfn.XLOOKUP(G4,Raw_GPW!W:W,Raw_GPW!AA:AA,"")</f>
        <v>30658.34</v>
      </c>
      <c r="K4">
        <f>_xlfn.XLOOKUP(TEXT(G4,"rrrr-mm-dd"),Raw_NBP!E:E,Raw_NBP!F:F,"")</f>
        <v>3.6962000000000002</v>
      </c>
      <c r="L4">
        <f>_xlfn.XLOOKUP(TEXT(G4,"rrrr-mm-dd"),Raw_NBP!L:L,Raw_NBP!M:M,"")</f>
        <v>4.2782</v>
      </c>
      <c r="M4">
        <f>_xlfn.XLOOKUP(TEXT(G4,"rrrr-mm-dd"),Raw_NBP!R:R,Raw_NBP!S:S,"")</f>
        <v>609.99</v>
      </c>
      <c r="O4" s="12">
        <f t="shared" ref="O4:O35" si="0">_xlfn.NUMBERVALUE(H4,".",",")</f>
        <v>3262.33</v>
      </c>
    </row>
    <row r="5" spans="7:15" x14ac:dyDescent="0.25">
      <c r="G5" s="1">
        <f>Raw_GPW!C7</f>
        <v>46090</v>
      </c>
      <c r="H5" s="11" t="str">
        <f>Raw_GPW!G7</f>
        <v>3256.8</v>
      </c>
      <c r="I5" t="str">
        <f>_xlfn.XLOOKUP(G5,Raw_GPW!M:M,Raw_GPW!Q:Q,"")</f>
        <v>8474.65</v>
      </c>
      <c r="J5" t="str">
        <f>_xlfn.XLOOKUP(G5,Raw_GPW!W:W,Raw_GPW!AA:AA,"")</f>
        <v>30384.66</v>
      </c>
      <c r="K5">
        <f>_xlfn.XLOOKUP(TEXT(G5,"rrrr-mm-dd"),Raw_NBP!E:E,Raw_NBP!F:F,"")</f>
        <v>3.7075</v>
      </c>
      <c r="L5">
        <f>_xlfn.XLOOKUP(TEXT(G5,"rrrr-mm-dd"),Raw_NBP!L:L,Raw_NBP!M:M,"")</f>
        <v>4.2835999999999999</v>
      </c>
      <c r="M5">
        <f>_xlfn.XLOOKUP(TEXT(G5,"rrrr-mm-dd"),Raw_NBP!R:R,Raw_NBP!S:S,"")</f>
        <v>604.25</v>
      </c>
      <c r="O5" s="12">
        <f t="shared" si="0"/>
        <v>3256.8</v>
      </c>
    </row>
    <row r="6" spans="7:15" x14ac:dyDescent="0.25">
      <c r="G6" s="1">
        <f>Raw_GPW!C8</f>
        <v>46091</v>
      </c>
      <c r="H6" s="11" t="str">
        <f>Raw_GPW!G8</f>
        <v>3327.28</v>
      </c>
      <c r="I6" t="str">
        <f>_xlfn.XLOOKUP(G6,Raw_GPW!M:M,Raw_GPW!Q:Q,"")</f>
        <v>8578.78</v>
      </c>
      <c r="J6" t="str">
        <f>_xlfn.XLOOKUP(G6,Raw_GPW!W:W,Raw_GPW!AA:AA,"")</f>
        <v>30686.76</v>
      </c>
      <c r="K6">
        <f>_xlfn.XLOOKUP(TEXT(G6,"rrrr-mm-dd"),Raw_NBP!E:E,Raw_NBP!F:F,"")</f>
        <v>3.6522999999999999</v>
      </c>
      <c r="L6">
        <f>_xlfn.XLOOKUP(TEXT(G6,"rrrr-mm-dd"),Raw_NBP!L:L,Raw_NBP!M:M,"")</f>
        <v>4.2554999999999996</v>
      </c>
      <c r="M6">
        <f>_xlfn.XLOOKUP(TEXT(G6,"rrrr-mm-dd"),Raw_NBP!R:R,Raw_NBP!S:S,"")</f>
        <v>608.44000000000005</v>
      </c>
      <c r="O6" s="12">
        <f t="shared" si="0"/>
        <v>3327.28</v>
      </c>
    </row>
    <row r="7" spans="7:15" x14ac:dyDescent="0.25">
      <c r="G7" s="1">
        <f>Raw_GPW!C9</f>
        <v>46092</v>
      </c>
      <c r="H7" s="11" t="str">
        <f>Raw_GPW!G9</f>
        <v>3312.71</v>
      </c>
      <c r="I7" t="str">
        <f>_xlfn.XLOOKUP(G7,Raw_GPW!M:M,Raw_GPW!Q:Q,"")</f>
        <v>8472.15</v>
      </c>
      <c r="J7" t="str">
        <f>_xlfn.XLOOKUP(G7,Raw_GPW!W:W,Raw_GPW!AA:AA,"")</f>
        <v>30604.91</v>
      </c>
      <c r="K7">
        <f>_xlfn.XLOOKUP(TEXT(G7,"rrrr-mm-dd"),Raw_NBP!E:E,Raw_NBP!F:F,"")</f>
        <v>3.6869999999999998</v>
      </c>
      <c r="L7">
        <f>_xlfn.XLOOKUP(TEXT(G7,"rrrr-mm-dd"),Raw_NBP!L:L,Raw_NBP!M:M,"")</f>
        <v>4.274</v>
      </c>
      <c r="M7">
        <f>_xlfn.XLOOKUP(TEXT(G7,"rrrr-mm-dd"),Raw_NBP!R:R,Raw_NBP!S:S,"")</f>
        <v>608.47</v>
      </c>
      <c r="O7" s="12">
        <f t="shared" si="0"/>
        <v>3312.71</v>
      </c>
    </row>
    <row r="8" spans="7:15" x14ac:dyDescent="0.25">
      <c r="G8" s="1">
        <f>Raw_GPW!C10</f>
        <v>46093</v>
      </c>
      <c r="H8" s="11" t="str">
        <f>Raw_GPW!G10</f>
        <v>3291.27</v>
      </c>
      <c r="I8" t="str">
        <f>_xlfn.XLOOKUP(G8,Raw_GPW!M:M,Raw_GPW!Q:Q,"")</f>
        <v>8357.95</v>
      </c>
      <c r="J8" t="str">
        <f>_xlfn.XLOOKUP(G8,Raw_GPW!W:W,Raw_GPW!AA:AA,"")</f>
        <v>30349.83</v>
      </c>
      <c r="K8">
        <f>_xlfn.XLOOKUP(TEXT(G8,"rrrr-mm-dd"),Raw_NBP!E:E,Raw_NBP!F:F,"")</f>
        <v>3.6878000000000002</v>
      </c>
      <c r="L8">
        <f>_xlfn.XLOOKUP(TEXT(G8,"rrrr-mm-dd"),Raw_NBP!L:L,Raw_NBP!M:M,"")</f>
        <v>4.2629000000000001</v>
      </c>
      <c r="M8">
        <f>_xlfn.XLOOKUP(TEXT(G8,"rrrr-mm-dd"),Raw_NBP!R:R,Raw_NBP!S:S,"")</f>
        <v>614.84</v>
      </c>
      <c r="O8" s="12">
        <f t="shared" si="0"/>
        <v>3291.27</v>
      </c>
    </row>
    <row r="9" spans="7:15" x14ac:dyDescent="0.25">
      <c r="G9" s="1">
        <f>Raw_GPW!C11</f>
        <v>46094</v>
      </c>
      <c r="H9" s="11" t="str">
        <f>Raw_GPW!G11</f>
        <v>3274.54</v>
      </c>
      <c r="I9" t="str">
        <f>_xlfn.XLOOKUP(G9,Raw_GPW!M:M,Raw_GPW!Q:Q,"")</f>
        <v>8361.59</v>
      </c>
      <c r="J9" t="str">
        <f>_xlfn.XLOOKUP(G9,Raw_GPW!W:W,Raw_GPW!AA:AA,"")</f>
        <v>30235.7</v>
      </c>
      <c r="K9">
        <f>_xlfn.XLOOKUP(TEXT(G9,"rrrr-mm-dd"),Raw_NBP!E:E,Raw_NBP!F:F,"")</f>
        <v>3.7277</v>
      </c>
      <c r="L9">
        <f>_xlfn.XLOOKUP(TEXT(G9,"rrrr-mm-dd"),Raw_NBP!L:L,Raw_NBP!M:M,"")</f>
        <v>4.2693000000000003</v>
      </c>
      <c r="M9">
        <f>_xlfn.XLOOKUP(TEXT(G9,"rrrr-mm-dd"),Raw_NBP!R:R,Raw_NBP!S:S,"")</f>
        <v>615.04999999999995</v>
      </c>
      <c r="O9" s="12">
        <f t="shared" si="0"/>
        <v>3274.54</v>
      </c>
    </row>
    <row r="10" spans="7:15" x14ac:dyDescent="0.25">
      <c r="G10" s="1">
        <f>Raw_GPW!C12</f>
        <v>46097</v>
      </c>
      <c r="H10" s="11" t="str">
        <f>Raw_GPW!G12</f>
        <v>3292.46</v>
      </c>
      <c r="I10" t="str">
        <f>_xlfn.XLOOKUP(G10,Raw_GPW!M:M,Raw_GPW!Q:Q,"")</f>
        <v>8361.63</v>
      </c>
      <c r="J10" t="str">
        <f>_xlfn.XLOOKUP(G10,Raw_GPW!W:W,Raw_GPW!AA:AA,"")</f>
        <v>30233.82</v>
      </c>
      <c r="K10">
        <f>_xlfn.XLOOKUP(TEXT(G10,"rrrr-mm-dd"),Raw_NBP!E:E,Raw_NBP!F:F,"")</f>
        <v>3.7286999999999999</v>
      </c>
      <c r="L10">
        <f>_xlfn.XLOOKUP(TEXT(G10,"rrrr-mm-dd"),Raw_NBP!L:L,Raw_NBP!M:M,"")</f>
        <v>4.2694000000000001</v>
      </c>
      <c r="M10">
        <f>_xlfn.XLOOKUP(TEXT(G10,"rrrr-mm-dd"),Raw_NBP!R:R,Raw_NBP!S:S,"")</f>
        <v>609.89</v>
      </c>
      <c r="O10" s="12">
        <f t="shared" si="0"/>
        <v>3292.46</v>
      </c>
    </row>
    <row r="11" spans="7:15" x14ac:dyDescent="0.25">
      <c r="G11" s="1">
        <f>Raw_GPW!C13</f>
        <v>46098</v>
      </c>
      <c r="H11" s="11" t="str">
        <f>Raw_GPW!G13</f>
        <v>3359.96</v>
      </c>
      <c r="I11" t="str">
        <f>_xlfn.XLOOKUP(G11,Raw_GPW!M:M,Raw_GPW!Q:Q,"")</f>
        <v>8623.55</v>
      </c>
      <c r="J11" t="str">
        <f>_xlfn.XLOOKUP(G11,Raw_GPW!W:W,Raw_GPW!AA:AA,"")</f>
        <v>30485.61</v>
      </c>
      <c r="K11">
        <f>_xlfn.XLOOKUP(TEXT(G11,"rrrr-mm-dd"),Raw_NBP!E:E,Raw_NBP!F:F,"")</f>
        <v>3.7046000000000001</v>
      </c>
      <c r="L11">
        <f>_xlfn.XLOOKUP(TEXT(G11,"rrrr-mm-dd"),Raw_NBP!L:L,Raw_NBP!M:M,"")</f>
        <v>4.2666000000000004</v>
      </c>
      <c r="M11">
        <f>_xlfn.XLOOKUP(TEXT(G11,"rrrr-mm-dd"),Raw_NBP!R:R,Raw_NBP!S:S,"")</f>
        <v>596.33000000000004</v>
      </c>
      <c r="O11" s="12">
        <f t="shared" si="0"/>
        <v>3359.96</v>
      </c>
    </row>
    <row r="12" spans="7:15" x14ac:dyDescent="0.25">
      <c r="G12" s="1">
        <f>Raw_GPW!C14</f>
        <v>46099</v>
      </c>
      <c r="H12" s="11" t="str">
        <f>Raw_GPW!G14</f>
        <v>3338.2</v>
      </c>
      <c r="I12" t="str">
        <f>_xlfn.XLOOKUP(G12,Raw_GPW!M:M,Raw_GPW!Q:Q,"")</f>
        <v>8537.47</v>
      </c>
      <c r="J12" t="str">
        <f>_xlfn.XLOOKUP(G12,Raw_GPW!W:W,Raw_GPW!AA:AA,"")</f>
        <v>30315.52</v>
      </c>
      <c r="K12">
        <f>_xlfn.XLOOKUP(TEXT(G12,"rrrr-mm-dd"),Raw_NBP!E:E,Raw_NBP!F:F,"")</f>
        <v>3.6930000000000001</v>
      </c>
      <c r="L12">
        <f>_xlfn.XLOOKUP(TEXT(G12,"rrrr-mm-dd"),Raw_NBP!L:L,Raw_NBP!M:M,"")</f>
        <v>4.2613000000000003</v>
      </c>
      <c r="M12">
        <f>_xlfn.XLOOKUP(TEXT(G12,"rrrr-mm-dd"),Raw_NBP!R:R,Raw_NBP!S:S,"")</f>
        <v>596.66</v>
      </c>
      <c r="O12" s="12">
        <f t="shared" si="0"/>
        <v>3338.2</v>
      </c>
    </row>
    <row r="13" spans="7:15" x14ac:dyDescent="0.25">
      <c r="G13" s="1">
        <f>Raw_GPW!C15</f>
        <v>46100</v>
      </c>
      <c r="H13" s="11" t="str">
        <f>Raw_GPW!G15</f>
        <v>3276.57</v>
      </c>
      <c r="I13" t="str">
        <f>_xlfn.XLOOKUP(G13,Raw_GPW!M:M,Raw_GPW!Q:Q,"")</f>
        <v>8418.91</v>
      </c>
      <c r="J13" t="str">
        <f>_xlfn.XLOOKUP(G13,Raw_GPW!W:W,Raw_GPW!AA:AA,"")</f>
        <v>29835.38</v>
      </c>
      <c r="K13">
        <f>_xlfn.XLOOKUP(TEXT(G13,"rrrr-mm-dd"),Raw_NBP!E:E,Raw_NBP!F:F,"")</f>
        <v>3.7269999999999999</v>
      </c>
      <c r="L13">
        <f>_xlfn.XLOOKUP(TEXT(G13,"rrrr-mm-dd"),Raw_NBP!L:L,Raw_NBP!M:M,"")</f>
        <v>4.2782</v>
      </c>
      <c r="M13">
        <f>_xlfn.XLOOKUP(TEXT(G13,"rrrr-mm-dd"),Raw_NBP!R:R,Raw_NBP!S:S,"")</f>
        <v>592.62</v>
      </c>
      <c r="O13" s="12">
        <f t="shared" si="0"/>
        <v>3276.57</v>
      </c>
    </row>
    <row r="14" spans="7:15" x14ac:dyDescent="0.25">
      <c r="G14" s="1">
        <f>Raw_GPW!C16</f>
        <v>46101</v>
      </c>
      <c r="H14" s="11" t="str">
        <f>Raw_GPW!G16</f>
        <v>3248.12</v>
      </c>
      <c r="I14" t="str">
        <f>_xlfn.XLOOKUP(G14,Raw_GPW!M:M,Raw_GPW!Q:Q,"")</f>
        <v>8247.07</v>
      </c>
      <c r="J14" t="str">
        <f>_xlfn.XLOOKUP(G14,Raw_GPW!W:W,Raw_GPW!AA:AA,"")</f>
        <v>29641.24</v>
      </c>
      <c r="K14">
        <f>_xlfn.XLOOKUP(TEXT(G14,"rrrr-mm-dd"),Raw_NBP!E:E,Raw_NBP!F:F,"")</f>
        <v>3.7031999999999998</v>
      </c>
      <c r="L14">
        <f>_xlfn.XLOOKUP(TEXT(G14,"rrrr-mm-dd"),Raw_NBP!L:L,Raw_NBP!M:M,"")</f>
        <v>4.2767999999999997</v>
      </c>
      <c r="M14">
        <f>_xlfn.XLOOKUP(TEXT(G14,"rrrr-mm-dd"),Raw_NBP!R:R,Raw_NBP!S:S,"")</f>
        <v>562.92999999999995</v>
      </c>
      <c r="O14" s="12">
        <f t="shared" si="0"/>
        <v>3248.12</v>
      </c>
    </row>
    <row r="15" spans="7:15" x14ac:dyDescent="0.25">
      <c r="G15" s="1">
        <f>Raw_GPW!C17</f>
        <v>46104</v>
      </c>
      <c r="H15" s="11" t="str">
        <f>Raw_GPW!G17</f>
        <v>3268.15</v>
      </c>
      <c r="I15" t="str">
        <f>_xlfn.XLOOKUP(G15,Raw_GPW!M:M,Raw_GPW!Q:Q,"")</f>
        <v>8297.37</v>
      </c>
      <c r="J15" t="str">
        <f>_xlfn.XLOOKUP(G15,Raw_GPW!W:W,Raw_GPW!AA:AA,"")</f>
        <v>29248.18</v>
      </c>
      <c r="K15">
        <f>_xlfn.XLOOKUP(TEXT(G15,"rrrr-mm-dd"),Raw_NBP!E:E,Raw_NBP!F:F,"")</f>
        <v>3.7292000000000001</v>
      </c>
      <c r="L15">
        <f>_xlfn.XLOOKUP(TEXT(G15,"rrrr-mm-dd"),Raw_NBP!L:L,Raw_NBP!M:M,"")</f>
        <v>4.2866999999999997</v>
      </c>
      <c r="M15">
        <f>_xlfn.XLOOKUP(TEXT(G15,"rrrr-mm-dd"),Raw_NBP!R:R,Raw_NBP!S:S,"")</f>
        <v>555.59</v>
      </c>
      <c r="O15" s="12">
        <f t="shared" si="0"/>
        <v>3268.15</v>
      </c>
    </row>
    <row r="16" spans="7:15" x14ac:dyDescent="0.25">
      <c r="G16" s="1">
        <f>Raw_GPW!C18</f>
        <v>46105</v>
      </c>
      <c r="H16" s="11" t="str">
        <f>Raw_GPW!G18</f>
        <v>3241.42</v>
      </c>
      <c r="I16" t="str">
        <f>_xlfn.XLOOKUP(G16,Raw_GPW!M:M,Raw_GPW!Q:Q,"")</f>
        <v>8194.25</v>
      </c>
      <c r="J16" t="str">
        <f>_xlfn.XLOOKUP(G16,Raw_GPW!W:W,Raw_GPW!AA:AA,"")</f>
        <v>29140.98</v>
      </c>
      <c r="K16">
        <f>_xlfn.XLOOKUP(TEXT(G16,"rrrr-mm-dd"),Raw_NBP!E:E,Raw_NBP!F:F,"")</f>
        <v>3.6850000000000001</v>
      </c>
      <c r="L16">
        <f>_xlfn.XLOOKUP(TEXT(G16,"rrrr-mm-dd"),Raw_NBP!L:L,Raw_NBP!M:M,"")</f>
        <v>4.2728000000000002</v>
      </c>
      <c r="M16">
        <f>_xlfn.XLOOKUP(TEXT(G16,"rrrr-mm-dd"),Raw_NBP!R:R,Raw_NBP!S:S,"")</f>
        <v>509.82</v>
      </c>
      <c r="O16" s="12">
        <f t="shared" si="0"/>
        <v>3241.42</v>
      </c>
    </row>
    <row r="17" spans="7:15" x14ac:dyDescent="0.25">
      <c r="G17" s="1">
        <f>Raw_GPW!C19</f>
        <v>46106</v>
      </c>
      <c r="H17" s="11" t="str">
        <f>Raw_GPW!G19</f>
        <v>3312.41</v>
      </c>
      <c r="I17" t="str">
        <f>_xlfn.XLOOKUP(G17,Raw_GPW!M:M,Raw_GPW!Q:Q,"")</f>
        <v>8298.55</v>
      </c>
      <c r="J17" t="str">
        <f>_xlfn.XLOOKUP(G17,Raw_GPW!W:W,Raw_GPW!AA:AA,"")</f>
        <v>29515.4</v>
      </c>
      <c r="K17">
        <f>_xlfn.XLOOKUP(TEXT(G17,"rrrr-mm-dd"),Raw_NBP!E:E,Raw_NBP!F:F,"")</f>
        <v>3.6802999999999999</v>
      </c>
      <c r="L17">
        <f>_xlfn.XLOOKUP(TEXT(G17,"rrrr-mm-dd"),Raw_NBP!L:L,Raw_NBP!M:M,"")</f>
        <v>4.2691999999999997</v>
      </c>
      <c r="M17">
        <f>_xlfn.XLOOKUP(TEXT(G17,"rrrr-mm-dd"),Raw_NBP!R:R,Raw_NBP!S:S,"")</f>
        <v>524.34</v>
      </c>
      <c r="O17" s="12">
        <f t="shared" si="0"/>
        <v>3312.41</v>
      </c>
    </row>
    <row r="18" spans="7:15" x14ac:dyDescent="0.25">
      <c r="G18" s="1">
        <f>Raw_GPW!C20</f>
        <v>46107</v>
      </c>
      <c r="H18" s="11" t="str">
        <f>Raw_GPW!G20</f>
        <v>3306.6</v>
      </c>
      <c r="I18" t="str">
        <f>_xlfn.XLOOKUP(G18,Raw_GPW!M:M,Raw_GPW!Q:Q,"")</f>
        <v>8273.52</v>
      </c>
      <c r="J18" t="str">
        <f>_xlfn.XLOOKUP(G18,Raw_GPW!W:W,Raw_GPW!AA:AA,"")</f>
        <v>29371.5</v>
      </c>
      <c r="K18">
        <f>_xlfn.XLOOKUP(TEXT(G18,"rrrr-mm-dd"),Raw_NBP!E:E,Raw_NBP!F:F,"")</f>
        <v>3.6947999999999999</v>
      </c>
      <c r="L18">
        <f>_xlfn.XLOOKUP(TEXT(G18,"rrrr-mm-dd"),Raw_NBP!L:L,Raw_NBP!M:M,"")</f>
        <v>4.2709999999999999</v>
      </c>
      <c r="M18">
        <f>_xlfn.XLOOKUP(TEXT(G18,"rrrr-mm-dd"),Raw_NBP!R:R,Raw_NBP!S:S,"")</f>
        <v>538.46</v>
      </c>
      <c r="O18" s="12">
        <f t="shared" si="0"/>
        <v>3306.6</v>
      </c>
    </row>
    <row r="19" spans="7:15" x14ac:dyDescent="0.25">
      <c r="G19" s="1">
        <f>Raw_GPW!C21</f>
        <v>46108</v>
      </c>
      <c r="H19" s="11" t="str">
        <f>Raw_GPW!G21</f>
        <v>3268.55</v>
      </c>
      <c r="I19" t="str">
        <f>_xlfn.XLOOKUP(G19,Raw_GPW!M:M,Raw_GPW!Q:Q,"")</f>
        <v>8240.93</v>
      </c>
      <c r="J19" t="str">
        <f>_xlfn.XLOOKUP(G19,Raw_GPW!W:W,Raw_GPW!AA:AA,"")</f>
        <v>29055.93</v>
      </c>
      <c r="K19">
        <f>_xlfn.XLOOKUP(TEXT(G19,"rrrr-mm-dd"),Raw_NBP!E:E,Raw_NBP!F:F,"")</f>
        <v>3.7206000000000001</v>
      </c>
      <c r="L19">
        <f>_xlfn.XLOOKUP(TEXT(G19,"rrrr-mm-dd"),Raw_NBP!L:L,Raw_NBP!M:M,"")</f>
        <v>4.2858000000000001</v>
      </c>
      <c r="M19">
        <f>_xlfn.XLOOKUP(TEXT(G19,"rrrr-mm-dd"),Raw_NBP!R:R,Raw_NBP!S:S,"")</f>
        <v>525.4</v>
      </c>
      <c r="O19" s="12">
        <f t="shared" si="0"/>
        <v>3268.55</v>
      </c>
    </row>
    <row r="20" spans="7:15" x14ac:dyDescent="0.25">
      <c r="G20" s="1">
        <f>Raw_GPW!C22</f>
        <v>46111</v>
      </c>
      <c r="H20" s="11" t="str">
        <f>Raw_GPW!G22</f>
        <v>3283.06</v>
      </c>
      <c r="I20" t="str">
        <f>_xlfn.XLOOKUP(G20,Raw_GPW!M:M,Raw_GPW!Q:Q,"")</f>
        <v>8288.88</v>
      </c>
      <c r="J20" t="str">
        <f>_xlfn.XLOOKUP(G20,Raw_GPW!W:W,Raw_GPW!AA:AA,"")</f>
        <v>29017.61</v>
      </c>
      <c r="K20">
        <f>_xlfn.XLOOKUP(TEXT(G20,"rrrr-mm-dd"),Raw_NBP!E:E,Raw_NBP!F:F,"")</f>
        <v>3.7256999999999998</v>
      </c>
      <c r="L20">
        <f>_xlfn.XLOOKUP(TEXT(G20,"rrrr-mm-dd"),Raw_NBP!L:L,Raw_NBP!M:M,"")</f>
        <v>4.2831999999999999</v>
      </c>
      <c r="M20">
        <f>_xlfn.XLOOKUP(TEXT(G20,"rrrr-mm-dd"),Raw_NBP!R:R,Raw_NBP!S:S,"")</f>
        <v>529.66</v>
      </c>
      <c r="O20" s="12">
        <f t="shared" si="0"/>
        <v>3283.06</v>
      </c>
    </row>
    <row r="21" spans="7:15" x14ac:dyDescent="0.25">
      <c r="G21" s="1">
        <f>Raw_GPW!C23</f>
        <v>46112</v>
      </c>
      <c r="H21" s="11" t="str">
        <f>Raw_GPW!G23</f>
        <v>3340.77</v>
      </c>
      <c r="I21" t="str">
        <f>_xlfn.XLOOKUP(G21,Raw_GPW!M:M,Raw_GPW!Q:Q,"")</f>
        <v>8467.42</v>
      </c>
      <c r="J21" t="str">
        <f>_xlfn.XLOOKUP(G21,Raw_GPW!W:W,Raw_GPW!AA:AA,"")</f>
        <v>29614.66</v>
      </c>
      <c r="K21">
        <f>_xlfn.XLOOKUP(TEXT(G21,"rrrr-mm-dd"),Raw_NBP!E:E,Raw_NBP!F:F,"")</f>
        <v>3.7408000000000001</v>
      </c>
      <c r="L21">
        <f>_xlfn.XLOOKUP(TEXT(G21,"rrrr-mm-dd"),Raw_NBP!L:L,Raw_NBP!M:M,"")</f>
        <v>4.2893999999999997</v>
      </c>
      <c r="M21">
        <f>_xlfn.XLOOKUP(TEXT(G21,"rrrr-mm-dd"),Raw_NBP!R:R,Raw_NBP!S:S,"")</f>
        <v>543.51</v>
      </c>
      <c r="O21" s="12">
        <f t="shared" si="0"/>
        <v>3340.77</v>
      </c>
    </row>
    <row r="22" spans="7:15" x14ac:dyDescent="0.25">
      <c r="G22" s="1">
        <f>Raw_GPW!C24</f>
        <v>46113</v>
      </c>
      <c r="H22" s="11" t="str">
        <f>Raw_GPW!G24</f>
        <v>3402.92</v>
      </c>
      <c r="I22" t="str">
        <f>_xlfn.XLOOKUP(G22,Raw_GPW!M:M,Raw_GPW!Q:Q,"")</f>
        <v>8580.74</v>
      </c>
      <c r="J22" t="str">
        <f>_xlfn.XLOOKUP(G22,Raw_GPW!W:W,Raw_GPW!AA:AA,"")</f>
        <v>29908.97</v>
      </c>
      <c r="K22">
        <f>_xlfn.XLOOKUP(TEXT(G22,"rrrr-mm-dd"),Raw_NBP!E:E,Raw_NBP!F:F,"")</f>
        <v>3.6972</v>
      </c>
      <c r="L22">
        <f>_xlfn.XLOOKUP(TEXT(G22,"rrrr-mm-dd"),Raw_NBP!L:L,Raw_NBP!M:M,"")</f>
        <v>4.2873999999999999</v>
      </c>
      <c r="M22">
        <f>_xlfn.XLOOKUP(TEXT(G22,"rrrr-mm-dd"),Raw_NBP!R:R,Raw_NBP!S:S,"")</f>
        <v>549.34</v>
      </c>
      <c r="O22" s="12">
        <f t="shared" si="0"/>
        <v>3402.92</v>
      </c>
    </row>
    <row r="23" spans="7:15" x14ac:dyDescent="0.25">
      <c r="G23" s="1">
        <f>Raw_GPW!C25</f>
        <v>46114</v>
      </c>
      <c r="H23" s="11" t="str">
        <f>Raw_GPW!G25</f>
        <v>3433.65</v>
      </c>
      <c r="I23" t="str">
        <f>_xlfn.XLOOKUP(G23,Raw_GPW!M:M,Raw_GPW!Q:Q,"")</f>
        <v>8652.4</v>
      </c>
      <c r="J23" t="str">
        <f>_xlfn.XLOOKUP(G23,Raw_GPW!W:W,Raw_GPW!AA:AA,"")</f>
        <v>29881.32</v>
      </c>
      <c r="K23">
        <f>_xlfn.XLOOKUP(TEXT(G23,"rrrr-mm-dd"),Raw_NBP!E:E,Raw_NBP!F:F,"")</f>
        <v>3.7195</v>
      </c>
      <c r="L23">
        <f>_xlfn.XLOOKUP(TEXT(G23,"rrrr-mm-dd"),Raw_NBP!L:L,Raw_NBP!M:M,"")</f>
        <v>4.2869000000000002</v>
      </c>
      <c r="M23">
        <f>_xlfn.XLOOKUP(TEXT(G23,"rrrr-mm-dd"),Raw_NBP!R:R,Raw_NBP!S:S,"")</f>
        <v>561.97</v>
      </c>
      <c r="O23" s="12">
        <f t="shared" si="0"/>
        <v>3433.65</v>
      </c>
    </row>
    <row r="24" spans="7:15" x14ac:dyDescent="0.25">
      <c r="G24" s="1">
        <f>Raw_GPW!C26</f>
        <v>46119</v>
      </c>
      <c r="H24" s="11" t="str">
        <f>Raw_GPW!G26</f>
        <v>3416.8</v>
      </c>
      <c r="I24" t="str">
        <f>_xlfn.XLOOKUP(G24,Raw_GPW!M:M,Raw_GPW!Q:Q,"")</f>
        <v>8632.3</v>
      </c>
      <c r="J24" t="str">
        <f>_xlfn.XLOOKUP(G24,Raw_GPW!W:W,Raw_GPW!AA:AA,"")</f>
        <v>29749.2</v>
      </c>
      <c r="K24">
        <f>_xlfn.XLOOKUP(TEXT(G24,"rrrr-mm-dd"),Raw_NBP!E:E,Raw_NBP!F:F,"")</f>
        <v>3.6888000000000001</v>
      </c>
      <c r="L24">
        <f>_xlfn.XLOOKUP(TEXT(G24,"rrrr-mm-dd"),Raw_NBP!L:L,Raw_NBP!M:M,"")</f>
        <v>4.2694000000000001</v>
      </c>
      <c r="M24">
        <f>_xlfn.XLOOKUP(TEXT(G24,"rrrr-mm-dd"),Raw_NBP!R:R,Raw_NBP!S:S,"")</f>
        <v>557.13</v>
      </c>
      <c r="O24" s="12">
        <f t="shared" si="0"/>
        <v>3416.8</v>
      </c>
    </row>
    <row r="25" spans="7:15" x14ac:dyDescent="0.25">
      <c r="G25" s="1">
        <f>Raw_GPW!C27</f>
        <v>46120</v>
      </c>
      <c r="H25" s="11" t="str">
        <f>Raw_GPW!G27</f>
        <v>3533.95</v>
      </c>
      <c r="I25" t="str">
        <f>_xlfn.XLOOKUP(G25,Raw_GPW!M:M,Raw_GPW!Q:Q,"")</f>
        <v>8918.69</v>
      </c>
      <c r="J25" t="str">
        <f>_xlfn.XLOOKUP(G25,Raw_GPW!W:W,Raw_GPW!AA:AA,"")</f>
        <v>30193.93</v>
      </c>
      <c r="K25">
        <f>_xlfn.XLOOKUP(TEXT(G25,"rrrr-mm-dd"),Raw_NBP!E:E,Raw_NBP!F:F,"")</f>
        <v>3.6488999999999998</v>
      </c>
      <c r="L25">
        <f>_xlfn.XLOOKUP(TEXT(G25,"rrrr-mm-dd"),Raw_NBP!L:L,Raw_NBP!M:M,"")</f>
        <v>4.2622999999999998</v>
      </c>
      <c r="M25">
        <f>_xlfn.XLOOKUP(TEXT(G25,"rrrr-mm-dd"),Raw_NBP!R:R,Raw_NBP!S:S,"")</f>
        <v>555.24</v>
      </c>
      <c r="O25" s="12">
        <f t="shared" si="0"/>
        <v>3533.95</v>
      </c>
    </row>
    <row r="26" spans="7:15" x14ac:dyDescent="0.25">
      <c r="G26" s="1">
        <f>Raw_GPW!C28</f>
        <v>46121</v>
      </c>
      <c r="H26" s="11" t="str">
        <f>Raw_GPW!G28</f>
        <v>3552.48</v>
      </c>
      <c r="I26" t="str">
        <f>_xlfn.XLOOKUP(G26,Raw_GPW!M:M,Raw_GPW!Q:Q,"")</f>
        <v>8895.59</v>
      </c>
      <c r="J26" t="str">
        <f>_xlfn.XLOOKUP(G26,Raw_GPW!W:W,Raw_GPW!AA:AA,"")</f>
        <v>30152.13</v>
      </c>
      <c r="K26">
        <f>_xlfn.XLOOKUP(TEXT(G26,"rrrr-mm-dd"),Raw_NBP!E:E,Raw_NBP!F:F,"")</f>
        <v>3.6505999999999998</v>
      </c>
      <c r="L26">
        <f>_xlfn.XLOOKUP(TEXT(G26,"rrrr-mm-dd"),Raw_NBP!L:L,Raw_NBP!M:M,"")</f>
        <v>4.2610000000000001</v>
      </c>
      <c r="M26">
        <f>_xlfn.XLOOKUP(TEXT(G26,"rrrr-mm-dd"),Raw_NBP!R:R,Raw_NBP!S:S,"")</f>
        <v>562.26</v>
      </c>
      <c r="O26" s="12">
        <f t="shared" si="0"/>
        <v>3552.48</v>
      </c>
    </row>
    <row r="27" spans="7:15" x14ac:dyDescent="0.25">
      <c r="G27" s="1">
        <f>Raw_GPW!C29</f>
        <v>46122</v>
      </c>
      <c r="H27" s="11" t="str">
        <f>Raw_GPW!G29</f>
        <v>3596.84</v>
      </c>
      <c r="I27" t="str">
        <f>_xlfn.XLOOKUP(G27,Raw_GPW!M:M,Raw_GPW!Q:Q,"")</f>
        <v>9036.06</v>
      </c>
      <c r="J27" t="str">
        <f>_xlfn.XLOOKUP(G27,Raw_GPW!W:W,Raw_GPW!AA:AA,"")</f>
        <v>30228.51</v>
      </c>
      <c r="K27">
        <f>_xlfn.XLOOKUP(TEXT(G27,"rrrr-mm-dd"),Raw_NBP!E:E,Raw_NBP!F:F,"")</f>
        <v>3.6396000000000002</v>
      </c>
      <c r="L27">
        <f>_xlfn.XLOOKUP(TEXT(G27,"rrrr-mm-dd"),Raw_NBP!L:L,Raw_NBP!M:M,"")</f>
        <v>4.2534000000000001</v>
      </c>
      <c r="M27">
        <f>_xlfn.XLOOKUP(TEXT(G27,"rrrr-mm-dd"),Raw_NBP!R:R,Raw_NBP!S:S,"")</f>
        <v>554.6</v>
      </c>
      <c r="O27" s="12">
        <f t="shared" si="0"/>
        <v>3596.84</v>
      </c>
    </row>
    <row r="28" spans="7:15" x14ac:dyDescent="0.25">
      <c r="G28" s="1">
        <f>Raw_GPW!C30</f>
        <v>46125</v>
      </c>
      <c r="H28" s="11" t="str">
        <f>Raw_GPW!G30</f>
        <v>3596.03</v>
      </c>
      <c r="I28" t="str">
        <f>_xlfn.XLOOKUP(G28,Raw_GPW!M:M,Raw_GPW!Q:Q,"")</f>
        <v>9031.26</v>
      </c>
      <c r="J28" t="str">
        <f>_xlfn.XLOOKUP(G28,Raw_GPW!W:W,Raw_GPW!AA:AA,"")</f>
        <v>30393.35</v>
      </c>
      <c r="K28">
        <f>_xlfn.XLOOKUP(TEXT(G28,"rrrr-mm-dd"),Raw_NBP!E:E,Raw_NBP!F:F,"")</f>
        <v>3.6374</v>
      </c>
      <c r="L28">
        <f>_xlfn.XLOOKUP(TEXT(G28,"rrrr-mm-dd"),Raw_NBP!L:L,Raw_NBP!M:M,"")</f>
        <v>4.2507000000000001</v>
      </c>
      <c r="M28">
        <f>_xlfn.XLOOKUP(TEXT(G28,"rrrr-mm-dd"),Raw_NBP!R:R,Raw_NBP!S:S,"")</f>
        <v>554.64</v>
      </c>
      <c r="O28" s="12">
        <f t="shared" si="0"/>
        <v>3596.03</v>
      </c>
    </row>
    <row r="29" spans="7:15" x14ac:dyDescent="0.25">
      <c r="G29" s="1">
        <f>Raw_GPW!C31</f>
        <v>46126</v>
      </c>
      <c r="H29" s="11" t="str">
        <f>Raw_GPW!G31</f>
        <v>3636.72</v>
      </c>
      <c r="I29" t="str">
        <f>_xlfn.XLOOKUP(G29,Raw_GPW!M:M,Raw_GPW!Q:Q,"")</f>
        <v>9144.9</v>
      </c>
      <c r="J29" t="str">
        <f>_xlfn.XLOOKUP(G29,Raw_GPW!W:W,Raw_GPW!AA:AA,"")</f>
        <v>30612.86</v>
      </c>
      <c r="K29">
        <f>_xlfn.XLOOKUP(TEXT(G29,"rrrr-mm-dd"),Raw_NBP!E:E,Raw_NBP!F:F,"")</f>
        <v>3.6015000000000001</v>
      </c>
      <c r="L29">
        <f>_xlfn.XLOOKUP(TEXT(G29,"rrrr-mm-dd"),Raw_NBP!L:L,Raw_NBP!M:M,"")</f>
        <v>4.2435999999999998</v>
      </c>
      <c r="M29">
        <f>_xlfn.XLOOKUP(TEXT(G29,"rrrr-mm-dd"),Raw_NBP!R:R,Raw_NBP!S:S,"")</f>
        <v>552.27</v>
      </c>
      <c r="O29" s="12">
        <f t="shared" si="0"/>
        <v>3636.72</v>
      </c>
    </row>
    <row r="30" spans="7:15" x14ac:dyDescent="0.25">
      <c r="G30" s="1">
        <f>Raw_GPW!C32</f>
        <v>46127</v>
      </c>
      <c r="H30" s="11" t="str">
        <f>Raw_GPW!G32</f>
        <v>3665.94</v>
      </c>
      <c r="I30" t="str">
        <f>_xlfn.XLOOKUP(G30,Raw_GPW!M:M,Raw_GPW!Q:Q,"")</f>
        <v>9236.47</v>
      </c>
      <c r="J30" t="str">
        <f>_xlfn.XLOOKUP(G30,Raw_GPW!W:W,Raw_GPW!AA:AA,"")</f>
        <v>30832.47</v>
      </c>
      <c r="K30">
        <f>_xlfn.XLOOKUP(TEXT(G30,"rrrr-mm-dd"),Raw_NBP!E:E,Raw_NBP!F:F,"")</f>
        <v>3.5939000000000001</v>
      </c>
      <c r="L30">
        <f>_xlfn.XLOOKUP(TEXT(G30,"rrrr-mm-dd"),Raw_NBP!L:L,Raw_NBP!M:M,"")</f>
        <v>4.2370000000000001</v>
      </c>
      <c r="M30">
        <f>_xlfn.XLOOKUP(TEXT(G30,"rrrr-mm-dd"),Raw_NBP!R:R,Raw_NBP!S:S,"")</f>
        <v>554.13</v>
      </c>
      <c r="O30" s="12">
        <f t="shared" si="0"/>
        <v>3665.94</v>
      </c>
    </row>
    <row r="31" spans="7:15" x14ac:dyDescent="0.25">
      <c r="G31" s="1">
        <f>Raw_GPW!C33</f>
        <v>46128</v>
      </c>
      <c r="H31" s="11" t="str">
        <f>Raw_GPW!G33</f>
        <v>3649.5</v>
      </c>
      <c r="I31" t="str">
        <f>_xlfn.XLOOKUP(G31,Raw_GPW!M:M,Raw_GPW!Q:Q,"")</f>
        <v>9178.15</v>
      </c>
      <c r="J31" t="str">
        <f>_xlfn.XLOOKUP(G31,Raw_GPW!W:W,Raw_GPW!AA:AA,"")</f>
        <v>30759.44</v>
      </c>
      <c r="K31">
        <f>_xlfn.XLOOKUP(TEXT(G31,"rrrr-mm-dd"),Raw_NBP!E:E,Raw_NBP!F:F,"")</f>
        <v>3.5983000000000001</v>
      </c>
      <c r="L31">
        <f>_xlfn.XLOOKUP(TEXT(G31,"rrrr-mm-dd"),Raw_NBP!L:L,Raw_NBP!M:M,"")</f>
        <v>4.2411000000000003</v>
      </c>
      <c r="M31">
        <f>_xlfn.XLOOKUP(TEXT(G31,"rrrr-mm-dd"),Raw_NBP!R:R,Raw_NBP!S:S,"")</f>
        <v>556.66</v>
      </c>
      <c r="O31" s="12">
        <f t="shared" si="0"/>
        <v>3649.5</v>
      </c>
    </row>
    <row r="32" spans="7:15" x14ac:dyDescent="0.25">
      <c r="G32" s="1">
        <f>Raw_GPW!C34</f>
        <v>46129</v>
      </c>
      <c r="H32" s="11" t="str">
        <f>Raw_GPW!G34</f>
        <v>3700.6</v>
      </c>
      <c r="I32" t="str">
        <f>_xlfn.XLOOKUP(G32,Raw_GPW!M:M,Raw_GPW!Q:Q,"")</f>
        <v>9307</v>
      </c>
      <c r="J32" t="str">
        <f>_xlfn.XLOOKUP(G32,Raw_GPW!W:W,Raw_GPW!AA:AA,"")</f>
        <v>31184.95</v>
      </c>
      <c r="K32">
        <f>_xlfn.XLOOKUP(TEXT(G32,"rrrr-mm-dd"),Raw_NBP!E:E,Raw_NBP!F:F,"")</f>
        <v>3.5912000000000002</v>
      </c>
      <c r="L32">
        <f>_xlfn.XLOOKUP(TEXT(G32,"rrrr-mm-dd"),Raw_NBP!L:L,Raw_NBP!M:M,"")</f>
        <v>4.2355</v>
      </c>
      <c r="M32">
        <f>_xlfn.XLOOKUP(TEXT(G32,"rrrr-mm-dd"),Raw_NBP!R:R,Raw_NBP!S:S,"")</f>
        <v>556.79999999999995</v>
      </c>
      <c r="O32" s="12">
        <f t="shared" si="0"/>
        <v>3700.6</v>
      </c>
    </row>
    <row r="33" spans="7:15" x14ac:dyDescent="0.25">
      <c r="G33" s="1">
        <f>Raw_GPW!C35</f>
        <v>46132</v>
      </c>
      <c r="H33" s="11" t="str">
        <f>Raw_GPW!G35</f>
        <v>3666.86</v>
      </c>
      <c r="I33" t="str">
        <f>_xlfn.XLOOKUP(G33,Raw_GPW!M:M,Raw_GPW!Q:Q,"")</f>
        <v>9240.29</v>
      </c>
      <c r="J33" t="str">
        <f>_xlfn.XLOOKUP(G33,Raw_GPW!W:W,Raw_GPW!AA:AA,"")</f>
        <v>31202.83</v>
      </c>
      <c r="K33">
        <f>_xlfn.XLOOKUP(TEXT(G33,"rrrr-mm-dd"),Raw_NBP!E:E,Raw_NBP!F:F,"")</f>
        <v>3.6004999999999998</v>
      </c>
      <c r="L33">
        <f>_xlfn.XLOOKUP(TEXT(G33,"rrrr-mm-dd"),Raw_NBP!L:L,Raw_NBP!M:M,"")</f>
        <v>4.2346000000000004</v>
      </c>
      <c r="M33">
        <f>_xlfn.XLOOKUP(TEXT(G33,"rrrr-mm-dd"),Raw_NBP!R:R,Raw_NBP!S:S,"")</f>
        <v>553.66</v>
      </c>
      <c r="O33" s="12">
        <f t="shared" si="0"/>
        <v>3666.86</v>
      </c>
    </row>
    <row r="34" spans="7:15" x14ac:dyDescent="0.25">
      <c r="G34" s="1">
        <f>Raw_GPW!C36</f>
        <v>46133</v>
      </c>
      <c r="H34" s="11" t="str">
        <f>Raw_GPW!G36</f>
        <v>3640</v>
      </c>
      <c r="I34" t="str">
        <f>_xlfn.XLOOKUP(G34,Raw_GPW!M:M,Raw_GPW!Q:Q,"")</f>
        <v>9127.87</v>
      </c>
      <c r="J34" t="str">
        <f>_xlfn.XLOOKUP(G34,Raw_GPW!W:W,Raw_GPW!AA:AA,"")</f>
        <v>31295.94</v>
      </c>
      <c r="K34">
        <f>_xlfn.XLOOKUP(TEXT(G34,"rrrr-mm-dd"),Raw_NBP!E:E,Raw_NBP!F:F,"")</f>
        <v>3.597</v>
      </c>
      <c r="L34">
        <f>_xlfn.XLOOKUP(TEXT(G34,"rrrr-mm-dd"),Raw_NBP!L:L,Raw_NBP!M:M,"")</f>
        <v>4.2320000000000002</v>
      </c>
      <c r="M34">
        <f>_xlfn.XLOOKUP(TEXT(G34,"rrrr-mm-dd"),Raw_NBP!R:R,Raw_NBP!S:S,"")</f>
        <v>555.09</v>
      </c>
      <c r="O34" s="12">
        <f t="shared" si="0"/>
        <v>3640</v>
      </c>
    </row>
    <row r="35" spans="7:15" x14ac:dyDescent="0.25">
      <c r="G35" s="1">
        <f>Raw_GPW!C37</f>
        <v>46134</v>
      </c>
      <c r="H35" s="11" t="str">
        <f>Raw_GPW!G37</f>
        <v>3615.77</v>
      </c>
      <c r="I35" t="str">
        <f>_xlfn.XLOOKUP(G35,Raw_GPW!M:M,Raw_GPW!Q:Q,"")</f>
        <v>9134.16</v>
      </c>
      <c r="J35" t="str">
        <f>_xlfn.XLOOKUP(G35,Raw_GPW!W:W,Raw_GPW!AA:AA,"")</f>
        <v>31292.14</v>
      </c>
      <c r="K35">
        <f>_xlfn.XLOOKUP(TEXT(G35,"rrrr-mm-dd"),Raw_NBP!E:E,Raw_NBP!F:F,"")</f>
        <v>3.6080000000000001</v>
      </c>
      <c r="L35">
        <f>_xlfn.XLOOKUP(TEXT(G35,"rrrr-mm-dd"),Raw_NBP!L:L,Raw_NBP!M:M,"")</f>
        <v>4.2408000000000001</v>
      </c>
      <c r="M35">
        <f>_xlfn.XLOOKUP(TEXT(G35,"rrrr-mm-dd"),Raw_NBP!R:R,Raw_NBP!S:S,"")</f>
        <v>553.4</v>
      </c>
      <c r="O35" s="12">
        <f t="shared" si="0"/>
        <v>3615.77</v>
      </c>
    </row>
    <row r="36" spans="7:15" x14ac:dyDescent="0.25">
      <c r="G36" s="1">
        <f>Raw_GPW!C38</f>
        <v>46135</v>
      </c>
      <c r="H36" s="11" t="str">
        <f>Raw_GPW!G38</f>
        <v>3578.84</v>
      </c>
      <c r="I36" t="str">
        <f>_xlfn.XLOOKUP(G36,Raw_GPW!M:M,Raw_GPW!Q:Q,"")</f>
        <v>9033.5</v>
      </c>
      <c r="J36" t="str">
        <f>_xlfn.XLOOKUP(G36,Raw_GPW!W:W,Raw_GPW!AA:AA,"")</f>
        <v>31222.28</v>
      </c>
      <c r="K36">
        <f>_xlfn.XLOOKUP(TEXT(G36,"rrrr-mm-dd"),Raw_NBP!E:E,Raw_NBP!F:F,"")</f>
        <v>3.6320999999999999</v>
      </c>
      <c r="L36">
        <f>_xlfn.XLOOKUP(TEXT(G36,"rrrr-mm-dd"),Raw_NBP!L:L,Raw_NBP!M:M,"")</f>
        <v>4.2500999999999998</v>
      </c>
      <c r="M36">
        <f>_xlfn.XLOOKUP(TEXT(G36,"rrrr-mm-dd"),Raw_NBP!R:R,Raw_NBP!S:S,"")</f>
        <v>551.74</v>
      </c>
      <c r="O36" s="12">
        <f t="shared" ref="O36:O63" si="1">_xlfn.NUMBERVALUE(H36,".",",")</f>
        <v>3578.84</v>
      </c>
    </row>
    <row r="37" spans="7:15" x14ac:dyDescent="0.25">
      <c r="G37" s="1">
        <f>Raw_GPW!C39</f>
        <v>46136</v>
      </c>
      <c r="H37" s="11" t="str">
        <f>Raw_GPW!G39</f>
        <v>3556.91</v>
      </c>
      <c r="I37" t="str">
        <f>_xlfn.XLOOKUP(G37,Raw_GPW!M:M,Raw_GPW!Q:Q,"")</f>
        <v>8991.98</v>
      </c>
      <c r="J37" t="str">
        <f>_xlfn.XLOOKUP(G37,Raw_GPW!W:W,Raw_GPW!AA:AA,"")</f>
        <v>31083.68</v>
      </c>
      <c r="K37">
        <f>_xlfn.XLOOKUP(TEXT(G37,"rrrr-mm-dd"),Raw_NBP!E:E,Raw_NBP!F:F,"")</f>
        <v>3.6294</v>
      </c>
      <c r="L37">
        <f>_xlfn.XLOOKUP(TEXT(G37,"rrrr-mm-dd"),Raw_NBP!L:L,Raw_NBP!M:M,"")</f>
        <v>4.2427999999999999</v>
      </c>
      <c r="M37">
        <f>_xlfn.XLOOKUP(TEXT(G37,"rrrr-mm-dd"),Raw_NBP!R:R,Raw_NBP!S:S,"")</f>
        <v>549.14</v>
      </c>
      <c r="O37" s="12">
        <f t="shared" si="1"/>
        <v>3556.91</v>
      </c>
    </row>
    <row r="38" spans="7:15" x14ac:dyDescent="0.25">
      <c r="G38" s="1">
        <f>Raw_GPW!C40</f>
        <v>46139</v>
      </c>
      <c r="H38" s="11" t="str">
        <f>Raw_GPW!G40</f>
        <v>3528.9</v>
      </c>
      <c r="I38" t="str">
        <f>_xlfn.XLOOKUP(G38,Raw_GPW!M:M,Raw_GPW!Q:Q,"")</f>
        <v>8955.93</v>
      </c>
      <c r="J38" t="str">
        <f>_xlfn.XLOOKUP(G38,Raw_GPW!W:W,Raw_GPW!AA:AA,"")</f>
        <v>31070.16</v>
      </c>
      <c r="K38">
        <f>_xlfn.XLOOKUP(TEXT(G38,"rrrr-mm-dd"),Raw_NBP!E:E,Raw_NBP!F:F,"")</f>
        <v>3.613</v>
      </c>
      <c r="L38">
        <f>_xlfn.XLOOKUP(TEXT(G38,"rrrr-mm-dd"),Raw_NBP!L:L,Raw_NBP!M:M,"")</f>
        <v>4.2445000000000004</v>
      </c>
      <c r="M38">
        <f>_xlfn.XLOOKUP(TEXT(G38,"rrrr-mm-dd"),Raw_NBP!R:R,Raw_NBP!S:S,"")</f>
        <v>547.28</v>
      </c>
      <c r="O38" s="12">
        <f t="shared" si="1"/>
        <v>3528.9</v>
      </c>
    </row>
    <row r="39" spans="7:15" x14ac:dyDescent="0.25">
      <c r="G39" s="1">
        <f>Raw_GPW!C41</f>
        <v>46140</v>
      </c>
      <c r="H39" s="11" t="str">
        <f>Raw_GPW!G41</f>
        <v>3502.06</v>
      </c>
      <c r="I39" t="str">
        <f>_xlfn.XLOOKUP(G39,Raw_GPW!M:M,Raw_GPW!Q:Q,"")</f>
        <v>8919.38</v>
      </c>
      <c r="J39" t="str">
        <f>_xlfn.XLOOKUP(G39,Raw_GPW!W:W,Raw_GPW!AA:AA,"")</f>
        <v>30863.43</v>
      </c>
      <c r="K39">
        <f>_xlfn.XLOOKUP(TEXT(G39,"rrrr-mm-dd"),Raw_NBP!E:E,Raw_NBP!F:F,"")</f>
        <v>3.6293000000000002</v>
      </c>
      <c r="L39">
        <f>_xlfn.XLOOKUP(TEXT(G39,"rrrr-mm-dd"),Raw_NBP!L:L,Raw_NBP!M:M,"")</f>
        <v>4.2469999999999999</v>
      </c>
      <c r="M39">
        <f>_xlfn.XLOOKUP(TEXT(G39,"rrrr-mm-dd"),Raw_NBP!R:R,Raw_NBP!S:S,"")</f>
        <v>546.61</v>
      </c>
      <c r="O39" s="12">
        <f t="shared" si="1"/>
        <v>3502.06</v>
      </c>
    </row>
    <row r="40" spans="7:15" x14ac:dyDescent="0.25">
      <c r="G40" s="1">
        <f>Raw_GPW!C42</f>
        <v>46141</v>
      </c>
      <c r="H40" s="11" t="str">
        <f>Raw_GPW!G42</f>
        <v>3503.71</v>
      </c>
      <c r="I40" t="str">
        <f>_xlfn.XLOOKUP(G40,Raw_GPW!M:M,Raw_GPW!Q:Q,"")</f>
        <v>8960.77</v>
      </c>
      <c r="J40" t="str">
        <f>_xlfn.XLOOKUP(G40,Raw_GPW!W:W,Raw_GPW!AA:AA,"")</f>
        <v>30875.73</v>
      </c>
      <c r="K40">
        <f>_xlfn.XLOOKUP(TEXT(G40,"rrrr-mm-dd"),Raw_NBP!E:E,Raw_NBP!F:F,"")</f>
        <v>3.6356000000000002</v>
      </c>
      <c r="L40">
        <f>_xlfn.XLOOKUP(TEXT(G40,"rrrr-mm-dd"),Raw_NBP!L:L,Raw_NBP!M:M,"")</f>
        <v>4.2537000000000003</v>
      </c>
      <c r="M40">
        <f>_xlfn.XLOOKUP(TEXT(G40,"rrrr-mm-dd"),Raw_NBP!R:R,Raw_NBP!S:S,"")</f>
        <v>540.11</v>
      </c>
      <c r="O40" s="12">
        <f t="shared" si="1"/>
        <v>3503.71</v>
      </c>
    </row>
    <row r="41" spans="7:15" x14ac:dyDescent="0.25">
      <c r="G41" s="1">
        <f>Raw_GPW!C43</f>
        <v>46142</v>
      </c>
      <c r="H41" s="11" t="str">
        <f>Raw_GPW!G43</f>
        <v>3487.99</v>
      </c>
      <c r="I41" t="str">
        <f>_xlfn.XLOOKUP(G41,Raw_GPW!M:M,Raw_GPW!Q:Q,"")</f>
        <v>8940.33</v>
      </c>
      <c r="J41" t="str">
        <f>_xlfn.XLOOKUP(G41,Raw_GPW!W:W,Raw_GPW!AA:AA,"")</f>
        <v>30700.96</v>
      </c>
      <c r="K41">
        <f>_xlfn.XLOOKUP(TEXT(G41,"rrrr-mm-dd"),Raw_NBP!E:E,Raw_NBP!F:F,"")</f>
        <v>3.6459999999999999</v>
      </c>
      <c r="L41">
        <f>_xlfn.XLOOKUP(TEXT(G41,"rrrr-mm-dd"),Raw_NBP!L:L,Raw_NBP!M:M,"")</f>
        <v>4.2588999999999997</v>
      </c>
      <c r="M41">
        <f>_xlfn.XLOOKUP(TEXT(G41,"rrrr-mm-dd"),Raw_NBP!R:R,Raw_NBP!S:S,"")</f>
        <v>534.42999999999995</v>
      </c>
      <c r="O41" s="12">
        <f t="shared" si="1"/>
        <v>3487.99</v>
      </c>
    </row>
    <row r="42" spans="7:15" x14ac:dyDescent="0.25">
      <c r="G42" s="1">
        <f>Raw_GPW!C44</f>
        <v>46146</v>
      </c>
      <c r="H42" s="11" t="str">
        <f>Raw_GPW!G44</f>
        <v>3491.84</v>
      </c>
      <c r="I42" t="str">
        <f>_xlfn.XLOOKUP(G42,Raw_GPW!M:M,Raw_GPW!Q:Q,"")</f>
        <v>9038.16</v>
      </c>
      <c r="J42" t="str">
        <f>_xlfn.XLOOKUP(G42,Raw_GPW!W:W,Raw_GPW!AA:AA,"")</f>
        <v>30704.55</v>
      </c>
      <c r="K42">
        <f>_xlfn.XLOOKUP(TEXT(G42,"rrrr-mm-dd"),Raw_NBP!E:E,Raw_NBP!F:F,"")</f>
        <v>3.6303000000000001</v>
      </c>
      <c r="L42">
        <f>_xlfn.XLOOKUP(TEXT(G42,"rrrr-mm-dd"),Raw_NBP!L:L,Raw_NBP!M:M,"")</f>
        <v>4.2544000000000004</v>
      </c>
      <c r="M42">
        <f>_xlfn.XLOOKUP(TEXT(G42,"rrrr-mm-dd"),Raw_NBP!R:R,Raw_NBP!S:S,"")</f>
        <v>540.99</v>
      </c>
      <c r="O42" s="12">
        <f t="shared" si="1"/>
        <v>3491.84</v>
      </c>
    </row>
    <row r="43" spans="7:15" x14ac:dyDescent="0.25">
      <c r="G43" s="1">
        <f>Raw_GPW!C45</f>
        <v>46147</v>
      </c>
      <c r="H43" s="11" t="str">
        <f>Raw_GPW!G45</f>
        <v>3529.57</v>
      </c>
      <c r="I43" t="str">
        <f>_xlfn.XLOOKUP(G43,Raw_GPW!M:M,Raw_GPW!Q:Q,"")</f>
        <v>9102.68</v>
      </c>
      <c r="J43" t="str">
        <f>_xlfn.XLOOKUP(G43,Raw_GPW!W:W,Raw_GPW!AA:AA,"")</f>
        <v>30718.89</v>
      </c>
      <c r="K43">
        <f>_xlfn.XLOOKUP(TEXT(G43,"rrrr-mm-dd"),Raw_NBP!E:E,Raw_NBP!F:F,"")</f>
        <v>3.6402999999999999</v>
      </c>
      <c r="L43">
        <f>_xlfn.XLOOKUP(TEXT(G43,"rrrr-mm-dd"),Raw_NBP!L:L,Raw_NBP!M:M,"")</f>
        <v>4.2550999999999997</v>
      </c>
      <c r="M43">
        <f>_xlfn.XLOOKUP(TEXT(G43,"rrrr-mm-dd"),Raw_NBP!R:R,Raw_NBP!S:S,"")</f>
        <v>534.09</v>
      </c>
      <c r="O43" s="12">
        <f t="shared" si="1"/>
        <v>3529.57</v>
      </c>
    </row>
    <row r="44" spans="7:15" x14ac:dyDescent="0.25">
      <c r="G44" s="1">
        <f>Raw_GPW!C46</f>
        <v>46148</v>
      </c>
      <c r="H44" s="11" t="str">
        <f>Raw_GPW!G46</f>
        <v>3629.57</v>
      </c>
      <c r="I44" t="str">
        <f>_xlfn.XLOOKUP(G44,Raw_GPW!M:M,Raw_GPW!Q:Q,"")</f>
        <v>9261.74</v>
      </c>
      <c r="J44" t="str">
        <f>_xlfn.XLOOKUP(G44,Raw_GPW!W:W,Raw_GPW!AA:AA,"")</f>
        <v>31200.46</v>
      </c>
      <c r="K44">
        <f>_xlfn.XLOOKUP(TEXT(G44,"rrrr-mm-dd"),Raw_NBP!E:E,Raw_NBP!F:F,"")</f>
        <v>3.6004999999999998</v>
      </c>
      <c r="L44">
        <f>_xlfn.XLOOKUP(TEXT(G44,"rrrr-mm-dd"),Raw_NBP!L:L,Raw_NBP!M:M,"")</f>
        <v>4.2351000000000001</v>
      </c>
      <c r="M44">
        <f>_xlfn.XLOOKUP(TEXT(G44,"rrrr-mm-dd"),Raw_NBP!R:R,Raw_NBP!S:S,"")</f>
        <v>533.41</v>
      </c>
      <c r="O44" s="12">
        <f t="shared" si="1"/>
        <v>3629.57</v>
      </c>
    </row>
    <row r="45" spans="7:15" x14ac:dyDescent="0.25">
      <c r="G45" s="1">
        <f>Raw_GPW!C47</f>
        <v>46149</v>
      </c>
      <c r="H45" s="11" t="str">
        <f>Raw_GPW!G47</f>
        <v>3592.99</v>
      </c>
      <c r="I45" t="str">
        <f>_xlfn.XLOOKUP(G45,Raw_GPW!M:M,Raw_GPW!Q:Q,"")</f>
        <v>9244.69</v>
      </c>
      <c r="J45" t="str">
        <f>_xlfn.XLOOKUP(G45,Raw_GPW!W:W,Raw_GPW!AA:AA,"")</f>
        <v>31021.47</v>
      </c>
      <c r="K45">
        <f>_xlfn.XLOOKUP(TEXT(G45,"rrrr-mm-dd"),Raw_NBP!E:E,Raw_NBP!F:F,"")</f>
        <v>3.5920999999999998</v>
      </c>
      <c r="L45">
        <f>_xlfn.XLOOKUP(TEXT(G45,"rrrr-mm-dd"),Raw_NBP!L:L,Raw_NBP!M:M,"")</f>
        <v>4.2286000000000001</v>
      </c>
      <c r="M45">
        <f>_xlfn.XLOOKUP(TEXT(G45,"rrrr-mm-dd"),Raw_NBP!R:R,Raw_NBP!S:S,"")</f>
        <v>544</v>
      </c>
      <c r="O45" s="12">
        <f t="shared" si="1"/>
        <v>3592.99</v>
      </c>
    </row>
    <row r="46" spans="7:15" x14ac:dyDescent="0.25">
      <c r="G46" s="1">
        <f>Raw_GPW!C48</f>
        <v>46150</v>
      </c>
      <c r="H46" s="11" t="str">
        <f>Raw_GPW!G48</f>
        <v>3535.94</v>
      </c>
      <c r="I46" t="str">
        <f>_xlfn.XLOOKUP(G46,Raw_GPW!M:M,Raw_GPW!Q:Q,"")</f>
        <v>9068.23</v>
      </c>
      <c r="J46" t="str">
        <f>_xlfn.XLOOKUP(G46,Raw_GPW!W:W,Raw_GPW!AA:AA,"")</f>
        <v>30908</v>
      </c>
      <c r="K46">
        <f>_xlfn.XLOOKUP(TEXT(G46,"rrrr-mm-dd"),Raw_NBP!E:E,Raw_NBP!F:F,"")</f>
        <v>3.5947</v>
      </c>
      <c r="L46">
        <f>_xlfn.XLOOKUP(TEXT(G46,"rrrr-mm-dd"),Raw_NBP!L:L,Raw_NBP!M:M,"")</f>
        <v>4.2283999999999997</v>
      </c>
      <c r="M46">
        <f>_xlfn.XLOOKUP(TEXT(G46,"rrrr-mm-dd"),Raw_NBP!R:R,Raw_NBP!S:S,"")</f>
        <v>546.29</v>
      </c>
      <c r="O46" s="12">
        <f t="shared" si="1"/>
        <v>3535.94</v>
      </c>
    </row>
    <row r="47" spans="7:15" x14ac:dyDescent="0.25">
      <c r="G47" s="1">
        <f>Raw_GPW!C49</f>
        <v>46153</v>
      </c>
      <c r="H47" s="11" t="str">
        <f>Raw_GPW!G49</f>
        <v>3586.34</v>
      </c>
      <c r="I47" t="str">
        <f>_xlfn.XLOOKUP(G47,Raw_GPW!M:M,Raw_GPW!Q:Q,"")</f>
        <v>9135.19</v>
      </c>
      <c r="J47" t="str">
        <f>_xlfn.XLOOKUP(G47,Raw_GPW!W:W,Raw_GPW!AA:AA,"")</f>
        <v>31025.13</v>
      </c>
      <c r="K47">
        <f>_xlfn.XLOOKUP(TEXT(G47,"rrrr-mm-dd"),Raw_NBP!E:E,Raw_NBP!F:F,"")</f>
        <v>3.6006999999999998</v>
      </c>
      <c r="L47">
        <f>_xlfn.XLOOKUP(TEXT(G47,"rrrr-mm-dd"),Raw_NBP!L:L,Raw_NBP!M:M,"")</f>
        <v>4.2385999999999999</v>
      </c>
      <c r="M47">
        <f>_xlfn.XLOOKUP(TEXT(G47,"rrrr-mm-dd"),Raw_NBP!R:R,Raw_NBP!S:S,"")</f>
        <v>544.91999999999996</v>
      </c>
      <c r="O47" s="12">
        <f t="shared" si="1"/>
        <v>3586.34</v>
      </c>
    </row>
    <row r="48" spans="7:15" x14ac:dyDescent="0.25">
      <c r="G48" s="1">
        <f>Raw_GPW!C50</f>
        <v>46154</v>
      </c>
      <c r="H48" s="11" t="str">
        <f>Raw_GPW!G50</f>
        <v>3518.79</v>
      </c>
      <c r="I48" t="str">
        <f>_xlfn.XLOOKUP(G48,Raw_GPW!M:M,Raw_GPW!Q:Q,"")</f>
        <v>9034.25</v>
      </c>
      <c r="J48" t="str">
        <f>_xlfn.XLOOKUP(G48,Raw_GPW!W:W,Raw_GPW!AA:AA,"")</f>
        <v>30722.35</v>
      </c>
      <c r="K48">
        <f>_xlfn.XLOOKUP(TEXT(G48,"rrrr-mm-dd"),Raw_NBP!E:E,Raw_NBP!F:F,"")</f>
        <v>3.6166999999999998</v>
      </c>
      <c r="L48">
        <f>_xlfn.XLOOKUP(TEXT(G48,"rrrr-mm-dd"),Raw_NBP!L:L,Raw_NBP!M:M,"")</f>
        <v>4.2477999999999998</v>
      </c>
      <c r="M48">
        <f>_xlfn.XLOOKUP(TEXT(G48,"rrrr-mm-dd"),Raw_NBP!R:R,Raw_NBP!S:S,"")</f>
        <v>540.25</v>
      </c>
      <c r="O48" s="12">
        <f t="shared" si="1"/>
        <v>3518.79</v>
      </c>
    </row>
    <row r="49" spans="7:15" x14ac:dyDescent="0.25">
      <c r="G49" s="1">
        <f>Raw_GPW!C51</f>
        <v>46155</v>
      </c>
      <c r="H49" s="11" t="str">
        <f>Raw_GPW!G51</f>
        <v>3592.36</v>
      </c>
      <c r="I49" t="str">
        <f>_xlfn.XLOOKUP(G49,Raw_GPW!M:M,Raw_GPW!Q:Q,"")</f>
        <v>9053.59</v>
      </c>
      <c r="J49" t="str">
        <f>_xlfn.XLOOKUP(G49,Raw_GPW!W:W,Raw_GPW!AA:AA,"")</f>
        <v>30833.8</v>
      </c>
      <c r="K49">
        <f>_xlfn.XLOOKUP(TEXT(G49,"rrrr-mm-dd"),Raw_NBP!E:E,Raw_NBP!F:F,"")</f>
        <v>3.6335999999999999</v>
      </c>
      <c r="L49">
        <f>_xlfn.XLOOKUP(TEXT(G49,"rrrr-mm-dd"),Raw_NBP!L:L,Raw_NBP!M:M,"")</f>
        <v>4.2523999999999997</v>
      </c>
      <c r="M49">
        <f>_xlfn.XLOOKUP(TEXT(G49,"rrrr-mm-dd"),Raw_NBP!R:R,Raw_NBP!S:S,"")</f>
        <v>546.80999999999995</v>
      </c>
      <c r="O49" s="12">
        <f t="shared" si="1"/>
        <v>3592.36</v>
      </c>
    </row>
    <row r="50" spans="7:15" x14ac:dyDescent="0.25">
      <c r="G50" s="1">
        <f>Raw_GPW!C52</f>
        <v>46156</v>
      </c>
      <c r="H50" s="11" t="str">
        <f>Raw_GPW!G52</f>
        <v>3631.56</v>
      </c>
      <c r="I50" t="str">
        <f>_xlfn.XLOOKUP(G50,Raw_GPW!M:M,Raw_GPW!Q:Q,"")</f>
        <v>9183.84</v>
      </c>
      <c r="J50" t="str">
        <f>_xlfn.XLOOKUP(G50,Raw_GPW!W:W,Raw_GPW!AA:AA,"")</f>
        <v>30898.43</v>
      </c>
      <c r="K50">
        <f>_xlfn.XLOOKUP(TEXT(G50,"rrrr-mm-dd"),Raw_NBP!E:E,Raw_NBP!F:F,"")</f>
        <v>3.6204999999999998</v>
      </c>
      <c r="L50">
        <f>_xlfn.XLOOKUP(TEXT(G50,"rrrr-mm-dd"),Raw_NBP!L:L,Raw_NBP!M:M,"")</f>
        <v>4.2401</v>
      </c>
      <c r="M50">
        <f>_xlfn.XLOOKUP(TEXT(G50,"rrrr-mm-dd"),Raw_NBP!R:R,Raw_NBP!S:S,"")</f>
        <v>549.04</v>
      </c>
      <c r="O50" s="12">
        <f t="shared" si="1"/>
        <v>3631.56</v>
      </c>
    </row>
    <row r="51" spans="7:15" x14ac:dyDescent="0.25">
      <c r="G51" s="1">
        <f>Raw_GPW!C53</f>
        <v>46157</v>
      </c>
      <c r="H51" s="11" t="str">
        <f>Raw_GPW!G53</f>
        <v>3545.38</v>
      </c>
      <c r="I51" t="str">
        <f>_xlfn.XLOOKUP(G51,Raw_GPW!M:M,Raw_GPW!Q:Q,"")</f>
        <v>9139.42</v>
      </c>
      <c r="J51" t="str">
        <f>_xlfn.XLOOKUP(G51,Raw_GPW!W:W,Raw_GPW!AA:AA,"")</f>
        <v>30806.97</v>
      </c>
      <c r="K51">
        <f>_xlfn.XLOOKUP(TEXT(G51,"rrrr-mm-dd"),Raw_NBP!E:E,Raw_NBP!F:F,"")</f>
        <v>3.6524999999999999</v>
      </c>
      <c r="L51">
        <f>_xlfn.XLOOKUP(TEXT(G51,"rrrr-mm-dd"),Raw_NBP!L:L,Raw_NBP!M:M,"")</f>
        <v>4.2488999999999999</v>
      </c>
      <c r="M51">
        <f>_xlfn.XLOOKUP(TEXT(G51,"rrrr-mm-dd"),Raw_NBP!R:R,Raw_NBP!S:S,"")</f>
        <v>546.22</v>
      </c>
      <c r="O51" s="12">
        <f t="shared" si="1"/>
        <v>3545.38</v>
      </c>
    </row>
    <row r="52" spans="7:15" x14ac:dyDescent="0.25">
      <c r="G52" s="1">
        <f>Raw_GPW!C54</f>
        <v>46160</v>
      </c>
      <c r="H52" s="11" t="str">
        <f>Raw_GPW!G54</f>
        <v>3610.09</v>
      </c>
      <c r="I52" t="str">
        <f>_xlfn.XLOOKUP(G52,Raw_GPW!M:M,Raw_GPW!Q:Q,"")</f>
        <v>9215.6</v>
      </c>
      <c r="J52" t="str">
        <f>_xlfn.XLOOKUP(G52,Raw_GPW!W:W,Raw_GPW!AA:AA,"")</f>
        <v>30801.75</v>
      </c>
      <c r="K52">
        <f>_xlfn.XLOOKUP(TEXT(G52,"rrrr-mm-dd"),Raw_NBP!E:E,Raw_NBP!F:F,"")</f>
        <v>3.6450999999999998</v>
      </c>
      <c r="L52">
        <f>_xlfn.XLOOKUP(TEXT(G52,"rrrr-mm-dd"),Raw_NBP!L:L,Raw_NBP!M:M,"")</f>
        <v>4.2434000000000003</v>
      </c>
      <c r="M52">
        <f>_xlfn.XLOOKUP(TEXT(G52,"rrrr-mm-dd"),Raw_NBP!R:R,Raw_NBP!S:S,"")</f>
        <v>534.69000000000005</v>
      </c>
      <c r="O52" s="12">
        <f t="shared" si="1"/>
        <v>3610.09</v>
      </c>
    </row>
    <row r="53" spans="7:15" x14ac:dyDescent="0.25">
      <c r="G53" s="1">
        <f>Raw_GPW!C55</f>
        <v>46161</v>
      </c>
      <c r="H53" s="11" t="str">
        <f>Raw_GPW!G55</f>
        <v>3552.49</v>
      </c>
      <c r="I53" t="str">
        <f>_xlfn.XLOOKUP(G53,Raw_GPW!M:M,Raw_GPW!Q:Q,"")</f>
        <v>9194.82</v>
      </c>
      <c r="J53" t="str">
        <f>_xlfn.XLOOKUP(G53,Raw_GPW!W:W,Raw_GPW!AA:AA,"")</f>
        <v>30813.18</v>
      </c>
      <c r="K53">
        <f>_xlfn.XLOOKUP(TEXT(G53,"rrrr-mm-dd"),Raw_NBP!E:E,Raw_NBP!F:F,"")</f>
        <v>3.6467000000000001</v>
      </c>
      <c r="L53">
        <f>_xlfn.XLOOKUP(TEXT(G53,"rrrr-mm-dd"),Raw_NBP!L:L,Raw_NBP!M:M,"")</f>
        <v>4.2389000000000001</v>
      </c>
      <c r="M53">
        <f>_xlfn.XLOOKUP(TEXT(G53,"rrrr-mm-dd"),Raw_NBP!R:R,Raw_NBP!S:S,"")</f>
        <v>533.1</v>
      </c>
      <c r="O53" s="12">
        <f t="shared" si="1"/>
        <v>3552.49</v>
      </c>
    </row>
    <row r="54" spans="7:15" x14ac:dyDescent="0.25">
      <c r="G54" s="1">
        <f>Raw_GPW!C56</f>
        <v>46162</v>
      </c>
      <c r="H54" s="11" t="str">
        <f>Raw_GPW!G56</f>
        <v>3610.7</v>
      </c>
      <c r="I54" t="str">
        <f>_xlfn.XLOOKUP(G54,Raw_GPW!M:M,Raw_GPW!Q:Q,"")</f>
        <v>9310.07</v>
      </c>
      <c r="J54" t="str">
        <f>_xlfn.XLOOKUP(G54,Raw_GPW!W:W,Raw_GPW!AA:AA,"")</f>
        <v>31093.85</v>
      </c>
      <c r="K54">
        <f>_xlfn.XLOOKUP(TEXT(G54,"rrrr-mm-dd"),Raw_NBP!E:E,Raw_NBP!F:F,"")</f>
        <v>3.6709000000000001</v>
      </c>
      <c r="L54">
        <f>_xlfn.XLOOKUP(TEXT(G54,"rrrr-mm-dd"),Raw_NBP!L:L,Raw_NBP!M:M,"")</f>
        <v>4.2545999999999999</v>
      </c>
      <c r="M54">
        <f>_xlfn.XLOOKUP(TEXT(G54,"rrrr-mm-dd"),Raw_NBP!R:R,Raw_NBP!S:S,"")</f>
        <v>532.49</v>
      </c>
      <c r="O54" s="12">
        <f t="shared" si="1"/>
        <v>3610.7</v>
      </c>
    </row>
    <row r="55" spans="7:15" x14ac:dyDescent="0.25">
      <c r="G55" s="1">
        <f>Raw_GPW!C57</f>
        <v>46163</v>
      </c>
      <c r="H55" s="11" t="str">
        <f>Raw_GPW!G57</f>
        <v>3590</v>
      </c>
      <c r="I55" t="str">
        <f>_xlfn.XLOOKUP(G55,Raw_GPW!M:M,Raw_GPW!Q:Q,"")</f>
        <v>9367.04</v>
      </c>
      <c r="J55" t="str">
        <f>_xlfn.XLOOKUP(G55,Raw_GPW!W:W,Raw_GPW!AA:AA,"")</f>
        <v>31245.82</v>
      </c>
      <c r="K55">
        <f>_xlfn.XLOOKUP(TEXT(G55,"rrrr-mm-dd"),Raw_NBP!E:E,Raw_NBP!F:F,"")</f>
        <v>3.6528999999999998</v>
      </c>
      <c r="L55">
        <f>_xlfn.XLOOKUP(TEXT(G55,"rrrr-mm-dd"),Raw_NBP!L:L,Raw_NBP!M:M,"")</f>
        <v>4.2460000000000004</v>
      </c>
      <c r="M55">
        <f>_xlfn.XLOOKUP(TEXT(G55,"rrrr-mm-dd"),Raw_NBP!R:R,Raw_NBP!S:S,"")</f>
        <v>529.09</v>
      </c>
      <c r="O55" s="12">
        <f t="shared" si="1"/>
        <v>3590</v>
      </c>
    </row>
    <row r="56" spans="7:15" x14ac:dyDescent="0.25">
      <c r="G56" s="1">
        <f>Raw_GPW!C58</f>
        <v>46164</v>
      </c>
      <c r="H56" s="11" t="str">
        <f>Raw_GPW!G58</f>
        <v>3641.19</v>
      </c>
      <c r="I56" t="str">
        <f>_xlfn.XLOOKUP(G56,Raw_GPW!M:M,Raw_GPW!Q:Q,"")</f>
        <v>9480.13</v>
      </c>
      <c r="J56" t="str">
        <f>_xlfn.XLOOKUP(G56,Raw_GPW!W:W,Raw_GPW!AA:AA,"")</f>
        <v>31636.6</v>
      </c>
      <c r="K56">
        <f>_xlfn.XLOOKUP(TEXT(G56,"rrrr-mm-dd"),Raw_NBP!E:E,Raw_NBP!F:F,"")</f>
        <v>3.6570999999999998</v>
      </c>
      <c r="L56">
        <f>_xlfn.XLOOKUP(TEXT(G56,"rrrr-mm-dd"),Raw_NBP!L:L,Raw_NBP!M:M,"")</f>
        <v>4.2453000000000003</v>
      </c>
      <c r="M56">
        <f>_xlfn.XLOOKUP(TEXT(G56,"rrrr-mm-dd"),Raw_NBP!R:R,Raw_NBP!S:S,"")</f>
        <v>532.19000000000005</v>
      </c>
      <c r="O56" s="12">
        <f t="shared" si="1"/>
        <v>3641.19</v>
      </c>
    </row>
    <row r="57" spans="7:15" x14ac:dyDescent="0.25">
      <c r="G57" s="1">
        <f>Raw_GPW!C59</f>
        <v>46167</v>
      </c>
      <c r="H57" s="11" t="str">
        <f>Raw_GPW!G59</f>
        <v>3719.68</v>
      </c>
      <c r="I57" t="str">
        <f>_xlfn.XLOOKUP(G57,Raw_GPW!M:M,Raw_GPW!Q:Q,"")</f>
        <v>9662.54</v>
      </c>
      <c r="J57" t="str">
        <f>_xlfn.XLOOKUP(G57,Raw_GPW!W:W,Raw_GPW!AA:AA,"")</f>
        <v>31895.62</v>
      </c>
      <c r="K57">
        <f>_xlfn.XLOOKUP(TEXT(G57,"rrrr-mm-dd"),Raw_NBP!E:E,Raw_NBP!F:F,"")</f>
        <v>3.6374</v>
      </c>
      <c r="L57">
        <f>_xlfn.XLOOKUP(TEXT(G57,"rrrr-mm-dd"),Raw_NBP!L:L,Raw_NBP!M:M,"")</f>
        <v>4.2351999999999999</v>
      </c>
      <c r="M57">
        <f>_xlfn.XLOOKUP(TEXT(G57,"rrrr-mm-dd"),Raw_NBP!R:R,Raw_NBP!S:S,"")</f>
        <v>531.55999999999995</v>
      </c>
      <c r="O57" s="12">
        <f t="shared" si="1"/>
        <v>3719.68</v>
      </c>
    </row>
    <row r="58" spans="7:15" x14ac:dyDescent="0.25">
      <c r="G58" s="1">
        <f>Raw_GPW!C60</f>
        <v>46168</v>
      </c>
      <c r="H58" s="11" t="str">
        <f>Raw_GPW!G60</f>
        <v>3682.07</v>
      </c>
      <c r="I58" t="str">
        <f>_xlfn.XLOOKUP(G58,Raw_GPW!M:M,Raw_GPW!Q:Q,"")</f>
        <v>9608.16</v>
      </c>
      <c r="J58" t="str">
        <f>_xlfn.XLOOKUP(G58,Raw_GPW!W:W,Raw_GPW!AA:AA,"")</f>
        <v>31908.66</v>
      </c>
      <c r="K58">
        <f>_xlfn.XLOOKUP(TEXT(G58,"rrrr-mm-dd"),Raw_NBP!E:E,Raw_NBP!F:F,"")</f>
        <v>3.6394000000000002</v>
      </c>
      <c r="L58">
        <f>_xlfn.XLOOKUP(TEXT(G58,"rrrr-mm-dd"),Raw_NBP!L:L,Raw_NBP!M:M,"")</f>
        <v>4.2351999999999999</v>
      </c>
      <c r="M58">
        <f>_xlfn.XLOOKUP(TEXT(G58,"rrrr-mm-dd"),Raw_NBP!R:R,Raw_NBP!S:S,"")</f>
        <v>532.66</v>
      </c>
      <c r="O58" s="12">
        <f t="shared" si="1"/>
        <v>3682.07</v>
      </c>
    </row>
    <row r="59" spans="7:15" x14ac:dyDescent="0.25">
      <c r="G59" s="1">
        <f>Raw_GPW!C61</f>
        <v>46169</v>
      </c>
      <c r="H59" s="11" t="str">
        <f>Raw_GPW!G61</f>
        <v>3671.65</v>
      </c>
      <c r="I59" t="str">
        <f>_xlfn.XLOOKUP(G59,Raw_GPW!M:M,Raw_GPW!Q:Q,"")</f>
        <v>9521.67</v>
      </c>
      <c r="J59" t="str">
        <f>_xlfn.XLOOKUP(G59,Raw_GPW!W:W,Raw_GPW!AA:AA,"")</f>
        <v>31551.54</v>
      </c>
      <c r="K59">
        <f>_xlfn.XLOOKUP(TEXT(G59,"rrrr-mm-dd"),Raw_NBP!E:E,Raw_NBP!F:F,"")</f>
        <v>3.6404000000000001</v>
      </c>
      <c r="L59">
        <f>_xlfn.XLOOKUP(TEXT(G59,"rrrr-mm-dd"),Raw_NBP!L:L,Raw_NBP!M:M,"")</f>
        <v>4.2393000000000001</v>
      </c>
      <c r="M59">
        <f>_xlfn.XLOOKUP(TEXT(G59,"rrrr-mm-dd"),Raw_NBP!R:R,Raw_NBP!S:S,"")</f>
        <v>529.21</v>
      </c>
      <c r="O59" s="12">
        <f t="shared" si="1"/>
        <v>3671.65</v>
      </c>
    </row>
    <row r="60" spans="7:15" x14ac:dyDescent="0.25">
      <c r="G60" s="1">
        <f>Raw_GPW!C62</f>
        <v>46170</v>
      </c>
      <c r="H60" s="11" t="str">
        <f>Raw_GPW!G62</f>
        <v>3670.49</v>
      </c>
      <c r="I60" t="str">
        <f>_xlfn.XLOOKUP(G60,Raw_GPW!M:M,Raw_GPW!Q:Q,"")</f>
        <v>9572.57</v>
      </c>
      <c r="J60" t="str">
        <f>_xlfn.XLOOKUP(G60,Raw_GPW!W:W,Raw_GPW!AA:AA,"")</f>
        <v>31746.03</v>
      </c>
      <c r="K60">
        <f>_xlfn.XLOOKUP(TEXT(G60,"rrrr-mm-dd"),Raw_NBP!E:E,Raw_NBP!F:F,"")</f>
        <v>3.6463000000000001</v>
      </c>
      <c r="L60">
        <f>_xlfn.XLOOKUP(TEXT(G60,"rrrr-mm-dd"),Raw_NBP!L:L,Raw_NBP!M:M,"")</f>
        <v>4.2355</v>
      </c>
      <c r="M60">
        <f>_xlfn.XLOOKUP(TEXT(G60,"rrrr-mm-dd"),Raw_NBP!R:R,Raw_NBP!S:S,"")</f>
        <v>526.29</v>
      </c>
      <c r="O60" s="12">
        <f t="shared" si="1"/>
        <v>3670.49</v>
      </c>
    </row>
    <row r="61" spans="7:15" x14ac:dyDescent="0.25">
      <c r="G61" s="1">
        <f>Raw_GPW!C63</f>
        <v>46171</v>
      </c>
      <c r="H61" s="11" t="str">
        <f>Raw_GPW!G63</f>
        <v>3686.96</v>
      </c>
      <c r="I61" t="str">
        <f>_xlfn.XLOOKUP(G61,Raw_GPW!M:M,Raw_GPW!Q:Q,"")</f>
        <v>9624.8</v>
      </c>
      <c r="J61" t="str">
        <f>_xlfn.XLOOKUP(G61,Raw_GPW!W:W,Raw_GPW!AA:AA,"")</f>
        <v>32168.91</v>
      </c>
      <c r="K61">
        <f>_xlfn.XLOOKUP(TEXT(G61,"rrrr-mm-dd"),Raw_NBP!E:E,Raw_NBP!F:F,"")</f>
        <v>3.6395</v>
      </c>
      <c r="L61">
        <f>_xlfn.XLOOKUP(TEXT(G61,"rrrr-mm-dd"),Raw_NBP!L:L,Raw_NBP!M:M,"")</f>
        <v>4.2321999999999997</v>
      </c>
      <c r="M61">
        <f>_xlfn.XLOOKUP(TEXT(G61,"rrrr-mm-dd"),Raw_NBP!R:R,Raw_NBP!S:S,"")</f>
        <v>514.16</v>
      </c>
      <c r="O61" s="12">
        <f t="shared" si="1"/>
        <v>3686.96</v>
      </c>
    </row>
    <row r="62" spans="7:15" x14ac:dyDescent="0.25">
      <c r="G62" s="1">
        <f>Raw_GPW!C64</f>
        <v>46174</v>
      </c>
      <c r="H62" s="11" t="str">
        <f>Raw_GPW!G64</f>
        <v>3631.04</v>
      </c>
      <c r="I62" t="str">
        <f>_xlfn.XLOOKUP(G62,Raw_GPW!M:M,Raw_GPW!Q:Q,"")</f>
        <v>9463.33</v>
      </c>
      <c r="J62" t="str">
        <f>_xlfn.XLOOKUP(G62,Raw_GPW!W:W,Raw_GPW!AA:AA,"")</f>
        <v>32380.61</v>
      </c>
      <c r="K62">
        <f>_xlfn.XLOOKUP(TEXT(G62,"rrrr-mm-dd"),Raw_NBP!E:E,Raw_NBP!F:F,"")</f>
        <v>3.6318999999999999</v>
      </c>
      <c r="L62">
        <f>_xlfn.XLOOKUP(TEXT(G62,"rrrr-mm-dd"),Raw_NBP!L:L,Raw_NBP!M:M,"")</f>
        <v>4.2340999999999998</v>
      </c>
      <c r="M62">
        <f>_xlfn.XLOOKUP(TEXT(G62,"rrrr-mm-dd"),Raw_NBP!R:R,Raw_NBP!S:S,"")</f>
        <v>528.20000000000005</v>
      </c>
      <c r="O62" s="12">
        <f t="shared" si="1"/>
        <v>3631.04</v>
      </c>
    </row>
    <row r="63" spans="7:15" x14ac:dyDescent="0.25">
      <c r="G63" s="1">
        <f>Raw_GPW!C65</f>
        <v>46175</v>
      </c>
      <c r="H63" s="11" t="str">
        <f>Raw_GPW!G65</f>
        <v>3668.51</v>
      </c>
      <c r="I63" t="str">
        <f>_xlfn.XLOOKUP(G63,Raw_GPW!M:M,Raw_GPW!Q:Q,"")</f>
        <v>9530.78</v>
      </c>
      <c r="J63" t="str">
        <f>_xlfn.XLOOKUP(G63,Raw_GPW!W:W,Raw_GPW!AA:AA,"")</f>
        <v>32283.9</v>
      </c>
      <c r="K63">
        <f>_xlfn.XLOOKUP(TEXT(G63,"rrrr-mm-dd"),Raw_NBP!E:E,Raw_NBP!F:F,"")</f>
        <v>3.6358000000000001</v>
      </c>
      <c r="L63">
        <f>_xlfn.XLOOKUP(TEXT(G63,"rrrr-mm-dd"),Raw_NBP!L:L,Raw_NBP!M:M,"")</f>
        <v>4.2333999999999996</v>
      </c>
      <c r="M63">
        <f>_xlfn.XLOOKUP(TEXT(G63,"rrrr-mm-dd"),Raw_NBP!R:R,Raw_NBP!S:S,"")</f>
        <v>525.1</v>
      </c>
      <c r="O63" s="12">
        <f t="shared" si="1"/>
        <v>3668.51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57DA-D48E-4A00-9E55-21124406C2E8}">
  <dimension ref="F3:BW67"/>
  <sheetViews>
    <sheetView zoomScale="55" zoomScaleNormal="55" workbookViewId="0">
      <selection activeCell="Q53" sqref="Q53"/>
    </sheetView>
  </sheetViews>
  <sheetFormatPr defaultColWidth="8.85546875" defaultRowHeight="15" x14ac:dyDescent="0.25"/>
  <cols>
    <col min="6" max="6" width="13.7109375" customWidth="1"/>
    <col min="7" max="7" width="11.28515625" customWidth="1"/>
    <col min="8" max="8" width="18.85546875" style="4" bestFit="1" customWidth="1"/>
    <col min="9" max="9" width="20.42578125" style="4" bestFit="1" customWidth="1"/>
    <col min="10" max="10" width="12.28515625" style="4" bestFit="1" customWidth="1"/>
    <col min="11" max="11" width="15" style="4" bestFit="1" customWidth="1"/>
    <col min="12" max="12" width="12.7109375" bestFit="1" customWidth="1"/>
    <col min="13" max="13" width="17.42578125" style="4" customWidth="1"/>
    <col min="18" max="18" width="10.7109375" customWidth="1"/>
    <col min="19" max="19" width="11.85546875" customWidth="1"/>
    <col min="20" max="20" width="18.85546875" style="4" bestFit="1" customWidth="1"/>
    <col min="21" max="21" width="20.42578125" style="4" bestFit="1" customWidth="1"/>
    <col min="22" max="22" width="13.85546875" style="4" customWidth="1"/>
    <col min="23" max="23" width="15" style="4" bestFit="1" customWidth="1"/>
    <col min="24" max="24" width="12.7109375" bestFit="1" customWidth="1"/>
    <col min="25" max="25" width="18.140625" style="4" bestFit="1" customWidth="1"/>
    <col min="31" max="31" width="10.7109375" bestFit="1" customWidth="1"/>
    <col min="32" max="32" width="19.42578125" bestFit="1" customWidth="1"/>
    <col min="33" max="33" width="21.140625" style="4" bestFit="1" customWidth="1"/>
    <col min="34" max="34" width="20.42578125" style="4" customWidth="1"/>
    <col min="35" max="35" width="15.42578125" style="4" bestFit="1" customWidth="1"/>
    <col min="36" max="36" width="16" style="4" customWidth="1"/>
    <col min="37" max="37" width="18.7109375" bestFit="1" customWidth="1"/>
    <col min="38" max="38" width="17.140625" style="4" customWidth="1"/>
    <col min="43" max="43" width="10.7109375" bestFit="1" customWidth="1"/>
    <col min="44" max="44" width="8.140625" bestFit="1" customWidth="1"/>
    <col min="45" max="45" width="18.85546875" bestFit="1" customWidth="1"/>
    <col min="46" max="46" width="20.42578125" bestFit="1" customWidth="1"/>
    <col min="47" max="47" width="12.28515625" bestFit="1" customWidth="1"/>
    <col min="48" max="48" width="15" bestFit="1" customWidth="1"/>
    <col min="49" max="49" width="12.7109375" bestFit="1" customWidth="1"/>
    <col min="50" max="50" width="18.140625" bestFit="1" customWidth="1"/>
    <col min="55" max="55" width="10.7109375" bestFit="1" customWidth="1"/>
    <col min="56" max="56" width="9.42578125" customWidth="1"/>
    <col min="57" max="57" width="18.7109375" bestFit="1" customWidth="1"/>
    <col min="58" max="58" width="20.42578125" bestFit="1" customWidth="1"/>
    <col min="59" max="59" width="12.140625" bestFit="1" customWidth="1"/>
    <col min="60" max="60" width="14.85546875" bestFit="1" customWidth="1"/>
    <col min="61" max="61" width="12.42578125" bestFit="1" customWidth="1"/>
    <col min="62" max="62" width="18" bestFit="1" customWidth="1"/>
    <col min="67" max="67" width="10.7109375" bestFit="1" customWidth="1"/>
    <col min="68" max="68" width="11.28515625" customWidth="1"/>
    <col min="69" max="69" width="19.42578125" style="4" bestFit="1" customWidth="1"/>
    <col min="70" max="70" width="21.140625" bestFit="1" customWidth="1"/>
    <col min="71" max="71" width="12.85546875" bestFit="1" customWidth="1"/>
    <col min="72" max="72" width="15.42578125" bestFit="1" customWidth="1"/>
    <col min="73" max="73" width="13.42578125" bestFit="1" customWidth="1"/>
    <col min="74" max="74" width="18.7109375" style="4" bestFit="1" customWidth="1"/>
  </cols>
  <sheetData>
    <row r="3" spans="6:75" x14ac:dyDescent="0.25">
      <c r="AQ3" s="1"/>
      <c r="AS3" s="4"/>
      <c r="AT3" s="4"/>
      <c r="AU3" s="4"/>
      <c r="AV3" s="4"/>
      <c r="AX3" s="4"/>
      <c r="BE3" s="4"/>
      <c r="BF3" s="4"/>
      <c r="BG3" s="4"/>
      <c r="BH3" s="4"/>
      <c r="BJ3" s="4"/>
      <c r="BR3" s="4"/>
      <c r="BS3" s="4"/>
      <c r="BT3" s="4"/>
      <c r="BW3" s="4"/>
    </row>
    <row r="4" spans="6:75" x14ac:dyDescent="0.25">
      <c r="F4" t="s">
        <v>914</v>
      </c>
      <c r="G4" t="s">
        <v>920</v>
      </c>
      <c r="H4" s="4" t="s">
        <v>921</v>
      </c>
      <c r="I4" s="4" t="s">
        <v>922</v>
      </c>
      <c r="J4" s="4" t="s">
        <v>923</v>
      </c>
      <c r="K4" s="4" t="s">
        <v>924</v>
      </c>
      <c r="L4" t="s">
        <v>925</v>
      </c>
      <c r="M4" s="4" t="s">
        <v>926</v>
      </c>
      <c r="R4" t="s">
        <v>914</v>
      </c>
      <c r="S4" t="s">
        <v>927</v>
      </c>
      <c r="T4" s="4" t="s">
        <v>928</v>
      </c>
      <c r="U4" s="4" t="s">
        <v>929</v>
      </c>
      <c r="V4" s="4" t="s">
        <v>930</v>
      </c>
      <c r="W4" s="4" t="s">
        <v>931</v>
      </c>
      <c r="X4" t="s">
        <v>932</v>
      </c>
      <c r="Y4" s="4" t="s">
        <v>933</v>
      </c>
      <c r="AE4" t="s">
        <v>914</v>
      </c>
      <c r="AF4" t="s">
        <v>934</v>
      </c>
      <c r="AG4" s="4" t="s">
        <v>935</v>
      </c>
      <c r="AH4" s="4" t="s">
        <v>936</v>
      </c>
      <c r="AI4" s="4" t="s">
        <v>937</v>
      </c>
      <c r="AJ4" s="4" t="s">
        <v>963</v>
      </c>
      <c r="AK4" t="s">
        <v>938</v>
      </c>
      <c r="AL4" s="4" t="s">
        <v>939</v>
      </c>
      <c r="AQ4" t="s">
        <v>914</v>
      </c>
      <c r="AR4" t="s">
        <v>917</v>
      </c>
      <c r="AS4" s="4" t="s">
        <v>940</v>
      </c>
      <c r="AT4" s="4" t="s">
        <v>941</v>
      </c>
      <c r="AU4" s="4" t="s">
        <v>942</v>
      </c>
      <c r="AV4" s="4" t="s">
        <v>943</v>
      </c>
      <c r="AW4" t="s">
        <v>944</v>
      </c>
      <c r="AX4" s="4" t="s">
        <v>945</v>
      </c>
      <c r="BC4" t="s">
        <v>914</v>
      </c>
      <c r="BD4" t="s">
        <v>918</v>
      </c>
      <c r="BE4" s="4" t="s">
        <v>946</v>
      </c>
      <c r="BF4" s="4" t="s">
        <v>947</v>
      </c>
      <c r="BG4" s="4" t="s">
        <v>948</v>
      </c>
      <c r="BH4" s="4" t="s">
        <v>949</v>
      </c>
      <c r="BI4" t="s">
        <v>950</v>
      </c>
      <c r="BJ4" s="4" t="s">
        <v>951</v>
      </c>
      <c r="BO4" t="s">
        <v>914</v>
      </c>
      <c r="BP4" t="s">
        <v>919</v>
      </c>
      <c r="BQ4" s="4" t="s">
        <v>952</v>
      </c>
      <c r="BR4" s="4" t="s">
        <v>953</v>
      </c>
      <c r="BS4" s="4" t="s">
        <v>954</v>
      </c>
      <c r="BT4" s="4" t="s">
        <v>955</v>
      </c>
      <c r="BU4" t="s">
        <v>956</v>
      </c>
      <c r="BV4" s="4" t="s">
        <v>957</v>
      </c>
      <c r="BW4" s="4"/>
    </row>
    <row r="5" spans="6:75" x14ac:dyDescent="0.25">
      <c r="F5" s="1">
        <f>Clean_Data!G4</f>
        <v>46087</v>
      </c>
      <c r="G5" t="str">
        <f>Clean_Data!H4</f>
        <v>3262.33</v>
      </c>
      <c r="J5" s="4">
        <f>G5/_xlfn.XLOOKUP(DATE(YEAR(F5),MONTH(F5),1),$F:$F,$G:$G,"",1)-1</f>
        <v>0</v>
      </c>
      <c r="L5" t="str">
        <f>G5</f>
        <v>3262.33</v>
      </c>
      <c r="M5" s="4">
        <f>G5/L5-1</f>
        <v>0</v>
      </c>
      <c r="R5" s="1">
        <f>Clean_Data!G4</f>
        <v>46087</v>
      </c>
      <c r="S5" t="str">
        <f>Clean_Data!I4</f>
        <v>8516.38</v>
      </c>
      <c r="V5" s="4">
        <f>S5/_xlfn.XLOOKUP(DATE(YEAR(R5),MONTH(R5),1),$R:$R,$S:$S,"",1)-1</f>
        <v>0</v>
      </c>
      <c r="X5" t="str">
        <f>S5</f>
        <v>8516.38</v>
      </c>
      <c r="Y5" s="4">
        <f>S5/X5-1</f>
        <v>0</v>
      </c>
      <c r="AE5" s="1">
        <f>Clean_Data!G4</f>
        <v>46087</v>
      </c>
      <c r="AF5" t="str">
        <f>Clean_Data!J4</f>
        <v>30658.34</v>
      </c>
      <c r="AI5" s="4">
        <f>AF5/_xlfn.XLOOKUP(DATE(YEAR(AE5),MONTH(AE5),1),$AE:$AE,$AF:$AF,"",1)-1</f>
        <v>0</v>
      </c>
      <c r="AK5" t="str">
        <f>AF5</f>
        <v>30658.34</v>
      </c>
      <c r="AL5" s="4">
        <f>AF5/AK5-1</f>
        <v>0</v>
      </c>
      <c r="AQ5" s="1">
        <f>Clean_Data!G4</f>
        <v>46087</v>
      </c>
      <c r="AR5">
        <f>Clean_Data!K4</f>
        <v>3.6962000000000002</v>
      </c>
      <c r="AS5" s="4"/>
      <c r="AT5" s="4"/>
      <c r="AU5" s="4">
        <f>AR5/_xlfn.XLOOKUP(DATE(YEAR(AQ5),MONTH(AE5),1),$AQ:$AQ,$AR:$AR,"",1)-1</f>
        <v>0</v>
      </c>
      <c r="AV5" s="4"/>
      <c r="AW5">
        <f>AR5</f>
        <v>3.6962000000000002</v>
      </c>
      <c r="AX5" s="4">
        <f>AR5/AW5-1</f>
        <v>0</v>
      </c>
      <c r="BC5" s="1">
        <f>Clean_Data!G4</f>
        <v>46087</v>
      </c>
      <c r="BD5">
        <f>Clean_Data!L4</f>
        <v>4.2782</v>
      </c>
      <c r="BE5" s="4"/>
      <c r="BF5" s="4"/>
      <c r="BG5" s="4">
        <f>BD5/_xlfn.XLOOKUP(DATE(YEAR(BC5),MONTH(AE5),1),$BC:$BC,$BD:$BD,"",1)-1</f>
        <v>0</v>
      </c>
      <c r="BH5" s="4"/>
      <c r="BI5">
        <f>BD5</f>
        <v>4.2782</v>
      </c>
      <c r="BJ5" s="4">
        <f>BD5/BI5-1</f>
        <v>0</v>
      </c>
      <c r="BO5" s="1">
        <f>Clean_Data!G4</f>
        <v>46087</v>
      </c>
      <c r="BP5">
        <f>Clean_Data!M4</f>
        <v>609.99</v>
      </c>
      <c r="BR5" s="4"/>
      <c r="BS5" s="4">
        <f>BP5/_xlfn.XLOOKUP(DATE(YEAR(BO5),MONTH(AE5),1),$BO:$BO,$BP:$BP,"",1)-1</f>
        <v>0</v>
      </c>
      <c r="BT5" s="4"/>
      <c r="BU5">
        <f>BP5</f>
        <v>609.99</v>
      </c>
      <c r="BV5" s="4">
        <f>BP5/BU5-1</f>
        <v>0</v>
      </c>
      <c r="BW5" s="4"/>
    </row>
    <row r="6" spans="6:75" x14ac:dyDescent="0.25">
      <c r="F6" s="1">
        <f>Clean_Data!G5</f>
        <v>46090</v>
      </c>
      <c r="G6" t="str">
        <f>Clean_Data!H5</f>
        <v>3256.8</v>
      </c>
      <c r="H6" s="4">
        <f>G6/G5-1</f>
        <v>-1.6951074845278358E-3</v>
      </c>
      <c r="J6" s="4">
        <f t="shared" ref="J6:J64" si="0">G6/_xlfn.XLOOKUP(DATE(YEAR(F6),MONTH(F6),1),$F:$F,$G:$G,"",1)-1</f>
        <v>-1.6951074845278358E-3</v>
      </c>
      <c r="L6" t="str">
        <f>IF(G6&gt;L5,G6,L5)</f>
        <v>3262.33</v>
      </c>
      <c r="M6" s="4">
        <f t="shared" ref="M6:M64" si="1">G6/L6-1</f>
        <v>-1.6951074845278358E-3</v>
      </c>
      <c r="R6" s="1">
        <f>Clean_Data!G5</f>
        <v>46090</v>
      </c>
      <c r="S6" t="str">
        <f>Clean_Data!I5</f>
        <v>8474.65</v>
      </c>
      <c r="T6" s="4">
        <f>S6/S5-1</f>
        <v>-4.8999692357550861E-3</v>
      </c>
      <c r="V6" s="4">
        <f t="shared" ref="V6:V64" si="2">S6/_xlfn.XLOOKUP(DATE(YEAR(R6),MONTH(R6),1),$R:$R,$S:$S,"",1)-1</f>
        <v>-4.8999692357550861E-3</v>
      </c>
      <c r="X6" t="str">
        <f>IF(S6&gt;X5,S6,X5)</f>
        <v>8516.38</v>
      </c>
      <c r="Y6" s="4">
        <f t="shared" ref="Y6:Y64" si="3">S6/X6-1</f>
        <v>-4.8999692357550861E-3</v>
      </c>
      <c r="AE6" s="1">
        <f>Clean_Data!G5</f>
        <v>46090</v>
      </c>
      <c r="AF6" t="str">
        <f>Clean_Data!J5</f>
        <v>30384.66</v>
      </c>
      <c r="AG6" s="4">
        <f>AF6/AF5-1</f>
        <v>-8.9267716386470797E-3</v>
      </c>
      <c r="AI6" s="4">
        <f t="shared" ref="AI6:AI64" si="4">AF6/_xlfn.XLOOKUP(DATE(YEAR(AE6),MONTH(AE6),1),$AE:$AE,$AF:$AF,"",1)-1</f>
        <v>-8.9267716386470797E-3</v>
      </c>
      <c r="AK6" t="str">
        <f>IF(AF6&gt;AK5,AF6,AK5)</f>
        <v>30658.34</v>
      </c>
      <c r="AL6" s="4">
        <f t="shared" ref="AL6:AL64" si="5">AF6/AK6-1</f>
        <v>-8.9267716386470797E-3</v>
      </c>
      <c r="AQ6" s="1">
        <f>Clean_Data!G5</f>
        <v>46090</v>
      </c>
      <c r="AR6">
        <f>Clean_Data!K5</f>
        <v>3.7075</v>
      </c>
      <c r="AS6" s="4">
        <f>AR6/AR5-1</f>
        <v>3.0571938747903094E-3</v>
      </c>
      <c r="AT6" s="4"/>
      <c r="AU6" s="4">
        <f t="shared" ref="AU6:AU64" si="6">AR6/_xlfn.XLOOKUP(DATE(YEAR(AQ6),MONTH(AE6),1),$AQ:$AQ,$AR:$AR,"",1)-1</f>
        <v>3.0571938747903094E-3</v>
      </c>
      <c r="AV6" s="4"/>
      <c r="AW6">
        <f>IF(AR6&gt;AW5,AR6,AW5)</f>
        <v>3.7075</v>
      </c>
      <c r="AX6" s="4">
        <f t="shared" ref="AX6:AX64" si="7">AR6/AW6-1</f>
        <v>0</v>
      </c>
      <c r="BC6" s="1">
        <f>Clean_Data!G5</f>
        <v>46090</v>
      </c>
      <c r="BD6">
        <f>Clean_Data!L5</f>
        <v>4.2835999999999999</v>
      </c>
      <c r="BE6" s="4">
        <f>BD6/BD5-1</f>
        <v>1.2622130802673048E-3</v>
      </c>
      <c r="BF6" s="4"/>
      <c r="BG6" s="4">
        <f t="shared" ref="BG6:BG64" si="8">BD6/_xlfn.XLOOKUP(DATE(YEAR(BC6),MONTH(AE6),1),$BC:$BC,$BD:$BD,"",1)-1</f>
        <v>1.2622130802673048E-3</v>
      </c>
      <c r="BH6" s="4"/>
      <c r="BI6">
        <f>IF(BD6&gt;BI5,BD6,BI5)</f>
        <v>4.2835999999999999</v>
      </c>
      <c r="BJ6" s="4">
        <f>BD6/BI6-1</f>
        <v>0</v>
      </c>
      <c r="BO6" s="1">
        <f>Clean_Data!G5</f>
        <v>46090</v>
      </c>
      <c r="BP6">
        <f>Clean_Data!M5</f>
        <v>604.25</v>
      </c>
      <c r="BQ6" s="4">
        <f>BP6/BP5-1</f>
        <v>-9.4099903277102825E-3</v>
      </c>
      <c r="BR6" s="4"/>
      <c r="BS6" s="4">
        <f t="shared" ref="BS6:BS64" si="9">BP6/_xlfn.XLOOKUP(DATE(YEAR(BO6),MONTH(AE6),1),$BO:$BO,$BP:$BP,"",1)-1</f>
        <v>-9.4099903277102825E-3</v>
      </c>
      <c r="BT6" s="4"/>
      <c r="BU6">
        <f>IF(BP6&gt;BU5,BP6,BU5)</f>
        <v>609.99</v>
      </c>
      <c r="BV6" s="4">
        <f t="shared" ref="BV6:BV64" si="10">BP6/BU6-1</f>
        <v>-9.4099903277102825E-3</v>
      </c>
      <c r="BW6" s="4"/>
    </row>
    <row r="7" spans="6:75" x14ac:dyDescent="0.25">
      <c r="F7" s="1">
        <f>Clean_Data!G6</f>
        <v>46091</v>
      </c>
      <c r="G7" t="str">
        <f>Clean_Data!H6</f>
        <v>3327.28</v>
      </c>
      <c r="H7" s="4">
        <f t="shared" ref="H7:H64" si="11">G7/G6-1</f>
        <v>2.1640874478015215E-2</v>
      </c>
      <c r="J7" s="4">
        <f t="shared" si="0"/>
        <v>1.9909083385188042E-2</v>
      </c>
      <c r="L7" t="str">
        <f t="shared" ref="L7:L64" si="12">IF(G7&gt;L6,G7,L6)</f>
        <v>3327.28</v>
      </c>
      <c r="M7" s="4">
        <f t="shared" si="1"/>
        <v>0</v>
      </c>
      <c r="R7" s="1">
        <f>Clean_Data!G6</f>
        <v>46091</v>
      </c>
      <c r="S7" t="str">
        <f>Clean_Data!I6</f>
        <v>8578.78</v>
      </c>
      <c r="T7" s="4">
        <f t="shared" ref="T7:T64" si="13">S7/S6-1</f>
        <v>1.2287233101072159E-2</v>
      </c>
      <c r="V7" s="4">
        <f t="shared" si="2"/>
        <v>7.327056801129217E-3</v>
      </c>
      <c r="X7" t="str">
        <f t="shared" ref="X7:X64" si="14">IF(S7&gt;X6,S7,X6)</f>
        <v>8578.78</v>
      </c>
      <c r="Y7" s="4">
        <f t="shared" si="3"/>
        <v>0</v>
      </c>
      <c r="AE7" s="1">
        <f>Clean_Data!G6</f>
        <v>46091</v>
      </c>
      <c r="AF7" t="str">
        <f>Clean_Data!J6</f>
        <v>30686.76</v>
      </c>
      <c r="AG7" s="4">
        <f t="shared" ref="AG7:AG64" si="15">AF7/AF6-1</f>
        <v>9.9425170464306767E-3</v>
      </c>
      <c r="AI7" s="4">
        <f t="shared" si="4"/>
        <v>9.2699082859670767E-4</v>
      </c>
      <c r="AK7" t="str">
        <f t="shared" ref="AK7:AK64" si="16">IF(AF7&gt;AK6,AF7,AK6)</f>
        <v>30686.76</v>
      </c>
      <c r="AL7" s="4">
        <f t="shared" si="5"/>
        <v>0</v>
      </c>
      <c r="AQ7" s="1">
        <f>Clean_Data!G6</f>
        <v>46091</v>
      </c>
      <c r="AR7">
        <f>Clean_Data!K6</f>
        <v>3.6522999999999999</v>
      </c>
      <c r="AS7" s="4">
        <f t="shared" ref="AS7:AS64" si="17">AR7/AR6-1</f>
        <v>-1.4888739042481447E-2</v>
      </c>
      <c r="AT7" s="4"/>
      <c r="AU7" s="4">
        <f t="shared" si="6"/>
        <v>-1.1877062929495197E-2</v>
      </c>
      <c r="AV7" s="4"/>
      <c r="AW7">
        <f t="shared" ref="AW7:AW64" si="18">IF(AR7&gt;AW6,AR7,AW6)</f>
        <v>3.7075</v>
      </c>
      <c r="AX7" s="4">
        <f t="shared" si="7"/>
        <v>-1.4888739042481447E-2</v>
      </c>
      <c r="BC7" s="1">
        <f>Clean_Data!G6</f>
        <v>46091</v>
      </c>
      <c r="BD7">
        <f>Clean_Data!L6</f>
        <v>4.2554999999999996</v>
      </c>
      <c r="BE7" s="4">
        <f t="shared" ref="BE7:BE64" si="19">BD7/BD6-1</f>
        <v>-6.5599028854235186E-3</v>
      </c>
      <c r="BF7" s="4"/>
      <c r="BG7" s="4">
        <f t="shared" si="8"/>
        <v>-5.3059698003834477E-3</v>
      </c>
      <c r="BH7" s="4"/>
      <c r="BI7">
        <f t="shared" ref="BI7:BI64" si="20">IF(BD7&gt;BI6,BD7,BI6)</f>
        <v>4.2835999999999999</v>
      </c>
      <c r="BJ7" s="4">
        <f t="shared" ref="BJ7:BJ64" si="21">BD7/BI7-1</f>
        <v>-6.5599028854235186E-3</v>
      </c>
      <c r="BO7" s="1">
        <f>Clean_Data!G6</f>
        <v>46091</v>
      </c>
      <c r="BP7">
        <f>Clean_Data!M6</f>
        <v>608.44000000000005</v>
      </c>
      <c r="BQ7" s="4">
        <f t="shared" ref="BQ7:BQ64" si="22">BP7/BP6-1</f>
        <v>6.934215970211044E-3</v>
      </c>
      <c r="BR7" s="4"/>
      <c r="BS7" s="4">
        <f t="shared" si="9"/>
        <v>-2.5410252627091623E-3</v>
      </c>
      <c r="BT7" s="4"/>
      <c r="BU7">
        <f t="shared" ref="BU7:BU64" si="23">IF(BP7&gt;BU6,BP7,BU6)</f>
        <v>609.99</v>
      </c>
      <c r="BV7" s="4">
        <f t="shared" si="10"/>
        <v>-2.5410252627091623E-3</v>
      </c>
      <c r="BW7" s="4"/>
    </row>
    <row r="8" spans="6:75" x14ac:dyDescent="0.25">
      <c r="F8" s="1">
        <f>Clean_Data!G7</f>
        <v>46092</v>
      </c>
      <c r="G8" t="str">
        <f>Clean_Data!H7</f>
        <v>3312.71</v>
      </c>
      <c r="H8" s="4">
        <f t="shared" si="11"/>
        <v>-4.3789521771537832E-3</v>
      </c>
      <c r="J8" s="4">
        <f t="shared" si="0"/>
        <v>1.5442950283999446E-2</v>
      </c>
      <c r="L8" t="str">
        <f t="shared" si="12"/>
        <v>3327.28</v>
      </c>
      <c r="M8" s="4">
        <f t="shared" si="1"/>
        <v>-4.3789521771537832E-3</v>
      </c>
      <c r="R8" s="1">
        <f>Clean_Data!G7</f>
        <v>46092</v>
      </c>
      <c r="S8" t="str">
        <f>Clean_Data!I7</f>
        <v>8472.15</v>
      </c>
      <c r="T8" s="4">
        <f t="shared" si="13"/>
        <v>-1.2429506293435755E-2</v>
      </c>
      <c r="V8" s="4">
        <f t="shared" si="2"/>
        <v>-5.1935211909285295E-3</v>
      </c>
      <c r="X8" t="str">
        <f t="shared" si="14"/>
        <v>8578.78</v>
      </c>
      <c r="Y8" s="4">
        <f t="shared" si="3"/>
        <v>-1.2429506293435755E-2</v>
      </c>
      <c r="AE8" s="1">
        <f>Clean_Data!G7</f>
        <v>46092</v>
      </c>
      <c r="AF8" t="str">
        <f>Clean_Data!J7</f>
        <v>30604.91</v>
      </c>
      <c r="AG8" s="4">
        <f t="shared" si="15"/>
        <v>-2.6672740947560891E-3</v>
      </c>
      <c r="AI8" s="4">
        <f t="shared" si="4"/>
        <v>-1.7427558047826697E-3</v>
      </c>
      <c r="AK8" t="str">
        <f t="shared" si="16"/>
        <v>30686.76</v>
      </c>
      <c r="AL8" s="4">
        <f t="shared" si="5"/>
        <v>-2.6672740947560891E-3</v>
      </c>
      <c r="AQ8" s="1">
        <f>Clean_Data!G7</f>
        <v>46092</v>
      </c>
      <c r="AR8">
        <f>Clean_Data!K7</f>
        <v>3.6869999999999998</v>
      </c>
      <c r="AS8" s="4">
        <f t="shared" si="17"/>
        <v>9.5008624702241917E-3</v>
      </c>
      <c r="AT8" s="4"/>
      <c r="AU8" s="4">
        <f t="shared" si="6"/>
        <v>-2.4890428007143806E-3</v>
      </c>
      <c r="AV8" s="4"/>
      <c r="AW8">
        <f t="shared" si="18"/>
        <v>3.7075</v>
      </c>
      <c r="AX8" s="4">
        <f t="shared" si="7"/>
        <v>-5.5293324342549077E-3</v>
      </c>
      <c r="BC8" s="1">
        <f>Clean_Data!G7</f>
        <v>46092</v>
      </c>
      <c r="BD8">
        <f>Clean_Data!L7</f>
        <v>4.274</v>
      </c>
      <c r="BE8" s="4">
        <f t="shared" si="19"/>
        <v>4.3473152391024783E-3</v>
      </c>
      <c r="BF8" s="4"/>
      <c r="BG8" s="4">
        <f t="shared" si="8"/>
        <v>-9.8172128465245923E-4</v>
      </c>
      <c r="BH8" s="4"/>
      <c r="BI8">
        <f t="shared" si="20"/>
        <v>4.2835999999999999</v>
      </c>
      <c r="BJ8" s="4">
        <f t="shared" si="21"/>
        <v>-2.2411056121018902E-3</v>
      </c>
      <c r="BO8" s="1">
        <f>Clean_Data!G7</f>
        <v>46092</v>
      </c>
      <c r="BP8">
        <f>Clean_Data!M7</f>
        <v>608.47</v>
      </c>
      <c r="BQ8" s="4">
        <f t="shared" si="22"/>
        <v>4.9306422983397269E-5</v>
      </c>
      <c r="BR8" s="4"/>
      <c r="BS8" s="4">
        <f t="shared" si="9"/>
        <v>-2.4918441285922688E-3</v>
      </c>
      <c r="BT8" s="4"/>
      <c r="BU8">
        <f t="shared" si="23"/>
        <v>609.99</v>
      </c>
      <c r="BV8" s="4">
        <f t="shared" si="10"/>
        <v>-2.4918441285922688E-3</v>
      </c>
      <c r="BW8" s="4"/>
    </row>
    <row r="9" spans="6:75" x14ac:dyDescent="0.25">
      <c r="F9" s="1">
        <f>Clean_Data!G8</f>
        <v>46093</v>
      </c>
      <c r="G9" t="str">
        <f>Clean_Data!H8</f>
        <v>3291.27</v>
      </c>
      <c r="H9" s="4">
        <f t="shared" si="11"/>
        <v>-6.472042527115307E-3</v>
      </c>
      <c r="J9" s="4">
        <f t="shared" si="0"/>
        <v>8.8709603259020664E-3</v>
      </c>
      <c r="L9" t="str">
        <f t="shared" si="12"/>
        <v>3327.28</v>
      </c>
      <c r="M9" s="4">
        <f t="shared" si="1"/>
        <v>-1.0822653939554283E-2</v>
      </c>
      <c r="R9" s="1">
        <f>Clean_Data!G8</f>
        <v>46093</v>
      </c>
      <c r="S9" t="str">
        <f>Clean_Data!I8</f>
        <v>8357.95</v>
      </c>
      <c r="T9" s="4">
        <f t="shared" si="13"/>
        <v>-1.3479459169160046E-2</v>
      </c>
      <c r="V9" s="4">
        <f t="shared" si="2"/>
        <v>-1.8602974503251213E-2</v>
      </c>
      <c r="X9" t="str">
        <f t="shared" si="14"/>
        <v>8578.78</v>
      </c>
      <c r="Y9" s="4">
        <f t="shared" si="3"/>
        <v>-2.5741422440020645E-2</v>
      </c>
      <c r="AE9" s="1">
        <f>Clean_Data!G8</f>
        <v>46093</v>
      </c>
      <c r="AF9" t="str">
        <f>Clean_Data!J8</f>
        <v>30349.83</v>
      </c>
      <c r="AG9" s="4">
        <f t="shared" si="15"/>
        <v>-8.3346103615399292E-3</v>
      </c>
      <c r="AI9" s="4">
        <f t="shared" si="4"/>
        <v>-1.00628409757344E-2</v>
      </c>
      <c r="AK9" t="str">
        <f t="shared" si="16"/>
        <v>30686.76</v>
      </c>
      <c r="AL9" s="4">
        <f t="shared" si="5"/>
        <v>-1.0979653765988862E-2</v>
      </c>
      <c r="AQ9" s="1">
        <f>Clean_Data!G8</f>
        <v>46093</v>
      </c>
      <c r="AR9">
        <f>Clean_Data!K8</f>
        <v>3.6878000000000002</v>
      </c>
      <c r="AS9" s="4">
        <f t="shared" si="17"/>
        <v>2.169785733658891E-4</v>
      </c>
      <c r="AT9" s="4"/>
      <c r="AU9" s="4">
        <f t="shared" si="6"/>
        <v>-2.2726042963042703E-3</v>
      </c>
      <c r="AV9" s="4"/>
      <c r="AW9">
        <f t="shared" si="18"/>
        <v>3.7075</v>
      </c>
      <c r="AX9" s="4">
        <f t="shared" si="7"/>
        <v>-5.3135536075522571E-3</v>
      </c>
      <c r="BC9" s="1">
        <f>Clean_Data!G8</f>
        <v>46093</v>
      </c>
      <c r="BD9">
        <f>Clean_Data!L8</f>
        <v>4.2629000000000001</v>
      </c>
      <c r="BE9" s="4">
        <f t="shared" si="19"/>
        <v>-2.5970987365465659E-3</v>
      </c>
      <c r="BF9" s="4"/>
      <c r="BG9" s="4">
        <f t="shared" si="8"/>
        <v>-3.5762703940909191E-3</v>
      </c>
      <c r="BH9" s="4"/>
      <c r="BI9">
        <f t="shared" si="20"/>
        <v>4.2835999999999999</v>
      </c>
      <c r="BJ9" s="4">
        <f t="shared" si="21"/>
        <v>-4.8323839760947562E-3</v>
      </c>
      <c r="BO9" s="1">
        <f>Clean_Data!G8</f>
        <v>46093</v>
      </c>
      <c r="BP9">
        <f>Clean_Data!M8</f>
        <v>614.84</v>
      </c>
      <c r="BQ9" s="4">
        <f t="shared" si="22"/>
        <v>1.0468880963728777E-2</v>
      </c>
      <c r="BR9" s="4"/>
      <c r="BS9" s="4">
        <f t="shared" si="9"/>
        <v>7.9509500155741097E-3</v>
      </c>
      <c r="BT9" s="4"/>
      <c r="BU9">
        <f t="shared" si="23"/>
        <v>614.84</v>
      </c>
      <c r="BV9" s="4">
        <f t="shared" si="10"/>
        <v>0</v>
      </c>
      <c r="BW9" s="4"/>
    </row>
    <row r="10" spans="6:75" x14ac:dyDescent="0.25">
      <c r="F10" s="1">
        <f>Clean_Data!G9</f>
        <v>46094</v>
      </c>
      <c r="G10" t="str">
        <f>Clean_Data!H9</f>
        <v>3274.54</v>
      </c>
      <c r="H10" s="4">
        <f t="shared" si="11"/>
        <v>-5.0831441966171509E-3</v>
      </c>
      <c r="I10" s="4">
        <f>G10/G5-1</f>
        <v>3.7427237587859263E-3</v>
      </c>
      <c r="J10" s="4">
        <f t="shared" si="0"/>
        <v>3.7427237587859263E-3</v>
      </c>
      <c r="L10" t="str">
        <f t="shared" si="12"/>
        <v>3327.28</v>
      </c>
      <c r="M10" s="4">
        <f t="shared" si="1"/>
        <v>-1.5850785025606551E-2</v>
      </c>
      <c r="R10" s="1">
        <f>Clean_Data!G9</f>
        <v>46094</v>
      </c>
      <c r="S10" t="str">
        <f>Clean_Data!I9</f>
        <v>8361.59</v>
      </c>
      <c r="T10" s="4">
        <f t="shared" si="13"/>
        <v>4.3551349314108201E-4</v>
      </c>
      <c r="U10" s="4">
        <f>S10/S5-1</f>
        <v>-1.8175562856518779E-2</v>
      </c>
      <c r="V10" s="4">
        <f t="shared" si="2"/>
        <v>-1.8175562856518779E-2</v>
      </c>
      <c r="X10" t="str">
        <f t="shared" si="14"/>
        <v>8578.78</v>
      </c>
      <c r="Y10" s="4">
        <f t="shared" si="3"/>
        <v>-2.5317119683684663E-2</v>
      </c>
      <c r="AE10" s="1">
        <f>Clean_Data!G9</f>
        <v>46094</v>
      </c>
      <c r="AF10" t="str">
        <f>Clean_Data!J9</f>
        <v>30235.7</v>
      </c>
      <c r="AG10" s="4">
        <f t="shared" si="15"/>
        <v>-3.7604823486655503E-3</v>
      </c>
      <c r="AH10" s="4">
        <f>AF10/AF5-1</f>
        <v>-1.3785482188533371E-2</v>
      </c>
      <c r="AI10" s="4">
        <f t="shared" si="4"/>
        <v>-1.3785482188533371E-2</v>
      </c>
      <c r="AK10" t="str">
        <f t="shared" si="16"/>
        <v>30686.76</v>
      </c>
      <c r="AL10" s="4">
        <f t="shared" si="5"/>
        <v>-1.4698847320472996E-2</v>
      </c>
      <c r="AQ10" s="1">
        <f>Clean_Data!G9</f>
        <v>46094</v>
      </c>
      <c r="AR10">
        <f>Clean_Data!K9</f>
        <v>3.7277</v>
      </c>
      <c r="AS10" s="4">
        <f t="shared" si="17"/>
        <v>1.0819458755897848E-2</v>
      </c>
      <c r="AT10" s="4">
        <f>AR10/AR5-1</f>
        <v>8.5222661111410414E-3</v>
      </c>
      <c r="AU10" s="4">
        <f t="shared" si="6"/>
        <v>8.5222661111410414E-3</v>
      </c>
      <c r="AV10" s="4"/>
      <c r="AW10">
        <f t="shared" si="18"/>
        <v>3.7277</v>
      </c>
      <c r="AX10" s="4">
        <f t="shared" si="7"/>
        <v>0</v>
      </c>
      <c r="BC10" s="1">
        <f>Clean_Data!G9</f>
        <v>46094</v>
      </c>
      <c r="BD10">
        <f>Clean_Data!L9</f>
        <v>4.2693000000000003</v>
      </c>
      <c r="BE10" s="4">
        <f t="shared" si="19"/>
        <v>1.501325388819863E-3</v>
      </c>
      <c r="BF10" s="4">
        <f>BD10/BD5-1</f>
        <v>-2.0803141508110023E-3</v>
      </c>
      <c r="BG10" s="4">
        <f t="shared" si="8"/>
        <v>-2.0803141508110023E-3</v>
      </c>
      <c r="BH10" s="4"/>
      <c r="BI10">
        <f t="shared" si="20"/>
        <v>4.2835999999999999</v>
      </c>
      <c r="BJ10" s="4">
        <f t="shared" si="21"/>
        <v>-3.3383135680268294E-3</v>
      </c>
      <c r="BO10" s="1">
        <f>Clean_Data!G9</f>
        <v>46094</v>
      </c>
      <c r="BP10">
        <f>Clean_Data!M9</f>
        <v>615.04999999999995</v>
      </c>
      <c r="BQ10" s="4">
        <f t="shared" si="22"/>
        <v>3.4155227376220232E-4</v>
      </c>
      <c r="BR10" s="4">
        <f>BP10/BP5-1</f>
        <v>8.2952179543926974E-3</v>
      </c>
      <c r="BS10" s="4">
        <f t="shared" si="9"/>
        <v>8.2952179543926974E-3</v>
      </c>
      <c r="BT10" s="4"/>
      <c r="BU10">
        <f t="shared" si="23"/>
        <v>615.04999999999995</v>
      </c>
      <c r="BV10" s="4">
        <f t="shared" si="10"/>
        <v>0</v>
      </c>
      <c r="BW10" s="4"/>
    </row>
    <row r="11" spans="6:75" x14ac:dyDescent="0.25">
      <c r="F11" s="1">
        <f>Clean_Data!G10</f>
        <v>46097</v>
      </c>
      <c r="G11" t="str">
        <f>Clean_Data!H10</f>
        <v>3292.46</v>
      </c>
      <c r="H11" s="4">
        <f t="shared" si="11"/>
        <v>5.4725243851045935E-3</v>
      </c>
      <c r="I11" s="4">
        <f t="shared" ref="I11:I64" si="24">G11/G6-1</f>
        <v>1.0949398182264813E-2</v>
      </c>
      <c r="J11" s="4">
        <f t="shared" si="0"/>
        <v>9.2357302909271688E-3</v>
      </c>
      <c r="L11" t="str">
        <f t="shared" si="12"/>
        <v>3327.28</v>
      </c>
      <c r="M11" s="4">
        <f t="shared" si="1"/>
        <v>-1.0465004448077742E-2</v>
      </c>
      <c r="R11" s="1">
        <f>Clean_Data!G10</f>
        <v>46097</v>
      </c>
      <c r="S11" t="str">
        <f>Clean_Data!I10</f>
        <v>8361.63</v>
      </c>
      <c r="T11" s="4">
        <f t="shared" si="13"/>
        <v>4.7837791614657732E-6</v>
      </c>
      <c r="U11" s="4">
        <f t="shared" ref="U11:U64" si="25">S11/S6-1</f>
        <v>-1.3336243974677475E-2</v>
      </c>
      <c r="V11" s="4">
        <f t="shared" si="2"/>
        <v>-1.8170866025236099E-2</v>
      </c>
      <c r="X11" t="str">
        <f t="shared" si="14"/>
        <v>8578.78</v>
      </c>
      <c r="Y11" s="4">
        <f t="shared" si="3"/>
        <v>-2.5312457016032797E-2</v>
      </c>
      <c r="AE11" s="1">
        <f>Clean_Data!G10</f>
        <v>46097</v>
      </c>
      <c r="AF11" t="str">
        <f>Clean_Data!J10</f>
        <v>30233.82</v>
      </c>
      <c r="AG11" s="4">
        <f t="shared" si="15"/>
        <v>-6.2178153639624867E-5</v>
      </c>
      <c r="AH11" s="4">
        <f>AF11/AF6-1</f>
        <v>-4.9643471409586137E-3</v>
      </c>
      <c r="AI11" s="4">
        <f t="shared" si="4"/>
        <v>-1.3846803186343459E-2</v>
      </c>
      <c r="AK11" t="str">
        <f t="shared" si="16"/>
        <v>30686.76</v>
      </c>
      <c r="AL11" s="4">
        <f t="shared" si="5"/>
        <v>-1.4760111526925579E-2</v>
      </c>
      <c r="AQ11" s="1">
        <f>Clean_Data!G10</f>
        <v>46097</v>
      </c>
      <c r="AR11">
        <f>Clean_Data!K10</f>
        <v>3.7286999999999999</v>
      </c>
      <c r="AS11" s="4">
        <f t="shared" si="17"/>
        <v>2.682619309493095E-4</v>
      </c>
      <c r="AT11" s="4">
        <f t="shared" ref="AT11:AT64" si="26">AR11/AR6-1</f>
        <v>5.7181389076197409E-3</v>
      </c>
      <c r="AU11" s="4">
        <f t="shared" si="6"/>
        <v>8.7928142416535682E-3</v>
      </c>
      <c r="AV11" s="4"/>
      <c r="AW11">
        <f t="shared" si="18"/>
        <v>3.7286999999999999</v>
      </c>
      <c r="AX11" s="4">
        <f t="shared" si="7"/>
        <v>0</v>
      </c>
      <c r="BC11" s="1">
        <f>Clean_Data!G10</f>
        <v>46097</v>
      </c>
      <c r="BD11">
        <f>Clean_Data!L10</f>
        <v>4.2694000000000001</v>
      </c>
      <c r="BE11" s="4">
        <f t="shared" si="19"/>
        <v>2.3423043590264925E-5</v>
      </c>
      <c r="BF11" s="4">
        <f t="shared" ref="BF11:BF64" si="27">BD11/BD6-1</f>
        <v>-3.3149687179008236E-3</v>
      </c>
      <c r="BG11" s="4">
        <f t="shared" si="8"/>
        <v>-2.05693983450983E-3</v>
      </c>
      <c r="BH11" s="4"/>
      <c r="BI11">
        <f t="shared" si="20"/>
        <v>4.2835999999999999</v>
      </c>
      <c r="BJ11" s="4">
        <f t="shared" si="21"/>
        <v>-3.3149687179008236E-3</v>
      </c>
      <c r="BO11" s="1">
        <f>Clean_Data!G10</f>
        <v>46097</v>
      </c>
      <c r="BP11">
        <f>Clean_Data!M10</f>
        <v>609.89</v>
      </c>
      <c r="BQ11" s="4">
        <f t="shared" si="22"/>
        <v>-8.3895618242418868E-3</v>
      </c>
      <c r="BR11" s="4">
        <f t="shared" ref="BR11:BR64" si="28">BP11/BP6-1</f>
        <v>9.3338849813817681E-3</v>
      </c>
      <c r="BS11" s="4">
        <f t="shared" si="9"/>
        <v>-1.6393711372320041E-4</v>
      </c>
      <c r="BT11" s="4"/>
      <c r="BU11">
        <f t="shared" si="23"/>
        <v>615.04999999999995</v>
      </c>
      <c r="BV11" s="4">
        <f t="shared" si="10"/>
        <v>-8.3895618242418868E-3</v>
      </c>
      <c r="BW11" s="4"/>
    </row>
    <row r="12" spans="6:75" x14ac:dyDescent="0.25">
      <c r="F12" s="1">
        <f>Clean_Data!G11</f>
        <v>46098</v>
      </c>
      <c r="G12" t="str">
        <f>Clean_Data!H11</f>
        <v>3359.96</v>
      </c>
      <c r="H12" s="4">
        <f t="shared" si="11"/>
        <v>2.0501388019900091E-2</v>
      </c>
      <c r="I12" s="4">
        <f t="shared" si="24"/>
        <v>9.8218364550022308E-3</v>
      </c>
      <c r="J12" s="4">
        <f t="shared" si="0"/>
        <v>2.9926463601168463E-2</v>
      </c>
      <c r="L12" t="str">
        <f t="shared" si="12"/>
        <v>3359.96</v>
      </c>
      <c r="M12" s="4">
        <f t="shared" si="1"/>
        <v>0</v>
      </c>
      <c r="R12" s="1">
        <f>Clean_Data!G11</f>
        <v>46098</v>
      </c>
      <c r="S12" t="str">
        <f>Clean_Data!I11</f>
        <v>8623.55</v>
      </c>
      <c r="T12" s="4">
        <f t="shared" si="13"/>
        <v>3.1324036103008712E-2</v>
      </c>
      <c r="U12" s="4">
        <f t="shared" si="25"/>
        <v>5.2186907695497275E-3</v>
      </c>
      <c r="V12" s="4">
        <f t="shared" si="2"/>
        <v>1.2583985214375204E-2</v>
      </c>
      <c r="X12" t="str">
        <f t="shared" si="14"/>
        <v>8623.55</v>
      </c>
      <c r="Y12" s="4">
        <f t="shared" si="3"/>
        <v>0</v>
      </c>
      <c r="AE12" s="1">
        <f>Clean_Data!G11</f>
        <v>46098</v>
      </c>
      <c r="AF12" t="str">
        <f>Clean_Data!J11</f>
        <v>30485.61</v>
      </c>
      <c r="AG12" s="4">
        <f t="shared" si="15"/>
        <v>8.3280908598384329E-3</v>
      </c>
      <c r="AH12" s="4">
        <f t="shared" ref="AH12:AH64" si="29">AF12/AF7-1</f>
        <v>-6.5549442169846595E-3</v>
      </c>
      <c r="AI12" s="4">
        <f t="shared" si="4"/>
        <v>-5.6340297615591339E-3</v>
      </c>
      <c r="AK12" t="str">
        <f t="shared" si="16"/>
        <v>30686.76</v>
      </c>
      <c r="AL12" s="4">
        <f t="shared" si="5"/>
        <v>-6.5549442169846595E-3</v>
      </c>
      <c r="AQ12" s="1">
        <f>Clean_Data!G11</f>
        <v>46098</v>
      </c>
      <c r="AR12">
        <f>Clean_Data!K11</f>
        <v>3.7046000000000001</v>
      </c>
      <c r="AS12" s="4">
        <f t="shared" si="17"/>
        <v>-6.4633786574408436E-3</v>
      </c>
      <c r="AT12" s="4">
        <f t="shared" si="26"/>
        <v>1.4319743723133493E-2</v>
      </c>
      <c r="AU12" s="4">
        <f t="shared" si="6"/>
        <v>2.2726042963043813E-3</v>
      </c>
      <c r="AV12" s="4"/>
      <c r="AW12">
        <f t="shared" si="18"/>
        <v>3.7286999999999999</v>
      </c>
      <c r="AX12" s="4">
        <f t="shared" si="7"/>
        <v>-6.4633786574408436E-3</v>
      </c>
      <c r="BC12" s="1">
        <f>Clean_Data!G11</f>
        <v>46098</v>
      </c>
      <c r="BD12">
        <f>Clean_Data!L11</f>
        <v>4.2666000000000004</v>
      </c>
      <c r="BE12" s="4">
        <f t="shared" si="19"/>
        <v>-6.5582985899648172E-4</v>
      </c>
      <c r="BF12" s="4">
        <f t="shared" si="27"/>
        <v>2.6083891434616202E-3</v>
      </c>
      <c r="BG12" s="4">
        <f t="shared" si="8"/>
        <v>-2.7114206909446548E-3</v>
      </c>
      <c r="BH12" s="4"/>
      <c r="BI12">
        <f t="shared" si="20"/>
        <v>4.2835999999999999</v>
      </c>
      <c r="BJ12" s="4">
        <f t="shared" si="21"/>
        <v>-3.9686245214304305E-3</v>
      </c>
      <c r="BO12" s="1">
        <f>Clean_Data!G11</f>
        <v>46098</v>
      </c>
      <c r="BP12">
        <f>Clean_Data!M11</f>
        <v>596.33000000000004</v>
      </c>
      <c r="BQ12" s="4">
        <f t="shared" si="22"/>
        <v>-2.2233517519552604E-2</v>
      </c>
      <c r="BR12" s="4">
        <f t="shared" si="28"/>
        <v>-1.990335941095267E-2</v>
      </c>
      <c r="BS12" s="4">
        <f t="shared" si="9"/>
        <v>-2.2393809734585712E-2</v>
      </c>
      <c r="BT12" s="4"/>
      <c r="BU12">
        <f t="shared" si="23"/>
        <v>615.04999999999995</v>
      </c>
      <c r="BV12" s="4">
        <f t="shared" si="10"/>
        <v>-3.0436549873993801E-2</v>
      </c>
      <c r="BW12" s="4"/>
    </row>
    <row r="13" spans="6:75" x14ac:dyDescent="0.25">
      <c r="F13" s="1">
        <f>Clean_Data!G12</f>
        <v>46099</v>
      </c>
      <c r="G13" t="str">
        <f>Clean_Data!H12</f>
        <v>3338.2</v>
      </c>
      <c r="H13" s="4">
        <f t="shared" si="11"/>
        <v>-6.4762675746140586E-3</v>
      </c>
      <c r="I13" s="4">
        <f t="shared" si="24"/>
        <v>7.6946065306047196E-3</v>
      </c>
      <c r="J13" s="4">
        <f t="shared" si="0"/>
        <v>2.3256384240711414E-2</v>
      </c>
      <c r="L13" t="str">
        <f t="shared" si="12"/>
        <v>3359.96</v>
      </c>
      <c r="M13" s="4">
        <f t="shared" si="1"/>
        <v>-6.4762675746140586E-3</v>
      </c>
      <c r="R13" s="1">
        <f>Clean_Data!G12</f>
        <v>46099</v>
      </c>
      <c r="S13" t="str">
        <f>Clean_Data!I12</f>
        <v>8537.47</v>
      </c>
      <c r="T13" s="4">
        <f t="shared" si="13"/>
        <v>-9.9819679830231989E-3</v>
      </c>
      <c r="U13" s="4">
        <f t="shared" si="25"/>
        <v>7.709967363656256E-3</v>
      </c>
      <c r="V13" s="4">
        <f t="shared" si="2"/>
        <v>2.4764042938432151E-3</v>
      </c>
      <c r="X13" t="str">
        <f t="shared" si="14"/>
        <v>8623.55</v>
      </c>
      <c r="Y13" s="4">
        <f t="shared" si="3"/>
        <v>-9.9819679830231989E-3</v>
      </c>
      <c r="AE13" s="1">
        <f>Clean_Data!G12</f>
        <v>46099</v>
      </c>
      <c r="AF13" t="str">
        <f>Clean_Data!J12</f>
        <v>30315.52</v>
      </c>
      <c r="AG13" s="4">
        <f t="shared" si="15"/>
        <v>-5.5793536688293344E-3</v>
      </c>
      <c r="AH13" s="4">
        <f t="shared" si="29"/>
        <v>-9.4556723087896311E-3</v>
      </c>
      <c r="AI13" s="4">
        <f t="shared" si="4"/>
        <v>-1.1181949185768092E-2</v>
      </c>
      <c r="AK13" t="str">
        <f t="shared" si="16"/>
        <v>30686.76</v>
      </c>
      <c r="AL13" s="4">
        <f t="shared" si="5"/>
        <v>-1.2097725533747994E-2</v>
      </c>
      <c r="AQ13" s="1">
        <f>Clean_Data!G12</f>
        <v>46099</v>
      </c>
      <c r="AR13">
        <f>Clean_Data!K12</f>
        <v>3.6930000000000001</v>
      </c>
      <c r="AS13" s="4">
        <f t="shared" si="17"/>
        <v>-3.131242239378107E-3</v>
      </c>
      <c r="AT13" s="4">
        <f t="shared" si="26"/>
        <v>1.6273393002441683E-3</v>
      </c>
      <c r="AU13" s="4">
        <f t="shared" si="6"/>
        <v>-8.6575401763977489E-4</v>
      </c>
      <c r="AV13" s="4"/>
      <c r="AW13">
        <f t="shared" si="18"/>
        <v>3.7286999999999999</v>
      </c>
      <c r="AX13" s="4">
        <f t="shared" si="7"/>
        <v>-9.5743824925577092E-3</v>
      </c>
      <c r="BC13" s="1">
        <f>Clean_Data!G12</f>
        <v>46099</v>
      </c>
      <c r="BD13">
        <f>Clean_Data!L12</f>
        <v>4.2613000000000003</v>
      </c>
      <c r="BE13" s="4">
        <f t="shared" si="19"/>
        <v>-1.2422069094829569E-3</v>
      </c>
      <c r="BF13" s="4">
        <f t="shared" si="27"/>
        <v>-2.9714553111838127E-3</v>
      </c>
      <c r="BG13" s="4">
        <f t="shared" si="8"/>
        <v>-3.9502594549108982E-3</v>
      </c>
      <c r="BH13" s="4"/>
      <c r="BI13">
        <f t="shared" si="20"/>
        <v>4.2835999999999999</v>
      </c>
      <c r="BJ13" s="4">
        <f t="shared" si="21"/>
        <v>-5.2059015781117379E-3</v>
      </c>
      <c r="BO13" s="1">
        <f>Clean_Data!G12</f>
        <v>46099</v>
      </c>
      <c r="BP13">
        <f>Clean_Data!M12</f>
        <v>596.66</v>
      </c>
      <c r="BQ13" s="4">
        <f t="shared" si="22"/>
        <v>5.5338487079281684E-4</v>
      </c>
      <c r="BR13" s="4">
        <f t="shared" si="28"/>
        <v>-1.9409338176081037E-2</v>
      </c>
      <c r="BS13" s="4">
        <f t="shared" si="9"/>
        <v>-2.185281725929944E-2</v>
      </c>
      <c r="BT13" s="4"/>
      <c r="BU13">
        <f t="shared" si="23"/>
        <v>615.04999999999995</v>
      </c>
      <c r="BV13" s="4">
        <f t="shared" si="10"/>
        <v>-2.9900008129420397E-2</v>
      </c>
      <c r="BW13" s="4"/>
    </row>
    <row r="14" spans="6:75" x14ac:dyDescent="0.25">
      <c r="F14" s="1">
        <f>Clean_Data!G13</f>
        <v>46100</v>
      </c>
      <c r="G14" t="str">
        <f>Clean_Data!H13</f>
        <v>3276.57</v>
      </c>
      <c r="H14" s="4">
        <f t="shared" si="11"/>
        <v>-1.8462045413695893E-2</v>
      </c>
      <c r="I14" s="4">
        <f t="shared" si="24"/>
        <v>-4.4663610095798667E-3</v>
      </c>
      <c r="J14" s="4">
        <f t="shared" si="0"/>
        <v>4.3649784050050489E-3</v>
      </c>
      <c r="L14" t="str">
        <f t="shared" si="12"/>
        <v>3359.96</v>
      </c>
      <c r="M14" s="4">
        <f t="shared" si="1"/>
        <v>-2.4818747842236144E-2</v>
      </c>
      <c r="R14" s="1">
        <f>Clean_Data!G13</f>
        <v>46100</v>
      </c>
      <c r="S14" t="str">
        <f>Clean_Data!I13</f>
        <v>8418.91</v>
      </c>
      <c r="T14" s="4">
        <f t="shared" si="13"/>
        <v>-1.388701805101511E-2</v>
      </c>
      <c r="U14" s="4">
        <f t="shared" si="25"/>
        <v>7.293654544475503E-3</v>
      </c>
      <c r="V14" s="4">
        <f t="shared" si="2"/>
        <v>-1.1445003628302142E-2</v>
      </c>
      <c r="X14" t="str">
        <f t="shared" si="14"/>
        <v>8623.55</v>
      </c>
      <c r="Y14" s="4">
        <f t="shared" si="3"/>
        <v>-2.3730366264473335E-2</v>
      </c>
      <c r="AE14" s="1">
        <f>Clean_Data!G13</f>
        <v>46100</v>
      </c>
      <c r="AF14" t="str">
        <f>Clean_Data!J13</f>
        <v>29835.38</v>
      </c>
      <c r="AG14" s="4">
        <f t="shared" si="15"/>
        <v>-1.583809217193044E-2</v>
      </c>
      <c r="AH14" s="4">
        <f t="shared" si="29"/>
        <v>-1.6950671552361296E-2</v>
      </c>
      <c r="AI14" s="4">
        <f t="shared" si="4"/>
        <v>-2.6842940615832367E-2</v>
      </c>
      <c r="AK14" t="str">
        <f t="shared" si="16"/>
        <v>30686.76</v>
      </c>
      <c r="AL14" s="4">
        <f t="shared" si="5"/>
        <v>-2.7744212813604174E-2</v>
      </c>
      <c r="AQ14" s="1">
        <f>Clean_Data!G13</f>
        <v>46100</v>
      </c>
      <c r="AR14">
        <f>Clean_Data!K13</f>
        <v>3.7269999999999999</v>
      </c>
      <c r="AS14" s="4">
        <f t="shared" si="17"/>
        <v>9.2066070945031608E-3</v>
      </c>
      <c r="AT14" s="4">
        <f t="shared" si="26"/>
        <v>1.0629643690004853E-2</v>
      </c>
      <c r="AU14" s="4">
        <f t="shared" si="6"/>
        <v>8.3328824197823614E-3</v>
      </c>
      <c r="AV14" s="4"/>
      <c r="AW14">
        <f t="shared" si="18"/>
        <v>3.7286999999999999</v>
      </c>
      <c r="AX14" s="4">
        <f t="shared" si="7"/>
        <v>-4.5592297583607611E-4</v>
      </c>
      <c r="BC14" s="1">
        <f>Clean_Data!G13</f>
        <v>46100</v>
      </c>
      <c r="BD14">
        <f>Clean_Data!L13</f>
        <v>4.2782</v>
      </c>
      <c r="BE14" s="4">
        <f t="shared" si="19"/>
        <v>3.9659258911599604E-3</v>
      </c>
      <c r="BF14" s="4">
        <f t="shared" si="27"/>
        <v>3.5891060076473913E-3</v>
      </c>
      <c r="BG14" s="4">
        <f t="shared" si="8"/>
        <v>0</v>
      </c>
      <c r="BH14" s="4"/>
      <c r="BI14">
        <f t="shared" si="20"/>
        <v>4.2835999999999999</v>
      </c>
      <c r="BJ14" s="4">
        <f t="shared" si="21"/>
        <v>-1.2606219068073132E-3</v>
      </c>
      <c r="BO14" s="1">
        <f>Clean_Data!G13</f>
        <v>46100</v>
      </c>
      <c r="BP14">
        <f>Clean_Data!M13</f>
        <v>592.62</v>
      </c>
      <c r="BQ14" s="4">
        <f t="shared" si="22"/>
        <v>-6.7710253745851823E-3</v>
      </c>
      <c r="BR14" s="4">
        <f t="shared" si="28"/>
        <v>-3.6139483442847009E-2</v>
      </c>
      <c r="BS14" s="4">
        <f t="shared" si="9"/>
        <v>-2.8475876653715648E-2</v>
      </c>
      <c r="BT14" s="4"/>
      <c r="BU14">
        <f t="shared" si="23"/>
        <v>615.04999999999995</v>
      </c>
      <c r="BV14" s="4">
        <f t="shared" si="10"/>
        <v>-3.6468579790260858E-2</v>
      </c>
      <c r="BW14" s="4"/>
    </row>
    <row r="15" spans="6:75" x14ac:dyDescent="0.25">
      <c r="F15" s="1">
        <f>Clean_Data!G14</f>
        <v>46101</v>
      </c>
      <c r="G15" t="str">
        <f>Clean_Data!H14</f>
        <v>3248.12</v>
      </c>
      <c r="H15" s="4">
        <f t="shared" si="11"/>
        <v>-8.6828604302671142E-3</v>
      </c>
      <c r="I15" s="4">
        <f t="shared" si="24"/>
        <v>-8.0683088311640505E-3</v>
      </c>
      <c r="J15" s="4">
        <f t="shared" si="0"/>
        <v>-4.3557825235338576E-3</v>
      </c>
      <c r="L15" t="str">
        <f t="shared" si="12"/>
        <v>3359.96</v>
      </c>
      <c r="M15" s="4">
        <f t="shared" si="1"/>
        <v>-3.3286110548935155E-2</v>
      </c>
      <c r="R15" s="1">
        <f>Clean_Data!G14</f>
        <v>46101</v>
      </c>
      <c r="S15" t="str">
        <f>Clean_Data!I14</f>
        <v>8247.07</v>
      </c>
      <c r="T15" s="4">
        <f t="shared" si="13"/>
        <v>-2.0411193373013892E-2</v>
      </c>
      <c r="U15" s="4">
        <f t="shared" si="25"/>
        <v>-1.3695959739714603E-2</v>
      </c>
      <c r="V15" s="4">
        <f t="shared" si="2"/>
        <v>-3.1622590819103791E-2</v>
      </c>
      <c r="X15" t="str">
        <f t="shared" si="14"/>
        <v>8623.55</v>
      </c>
      <c r="Y15" s="4">
        <f t="shared" si="3"/>
        <v>-4.3657194542850664E-2</v>
      </c>
      <c r="AE15" s="1">
        <f>Clean_Data!G14</f>
        <v>46101</v>
      </c>
      <c r="AF15" t="str">
        <f>Clean_Data!J14</f>
        <v>29641.24</v>
      </c>
      <c r="AG15" s="4">
        <f t="shared" si="15"/>
        <v>-6.5070396287897347E-3</v>
      </c>
      <c r="AH15" s="4">
        <f t="shared" si="29"/>
        <v>-1.9660864474776441E-2</v>
      </c>
      <c r="AI15" s="4">
        <f t="shared" si="4"/>
        <v>-3.3175312166281667E-2</v>
      </c>
      <c r="AK15" t="str">
        <f t="shared" si="16"/>
        <v>30686.76</v>
      </c>
      <c r="AL15" s="4">
        <f t="shared" si="5"/>
        <v>-3.4070719750146194E-2</v>
      </c>
      <c r="AQ15" s="1">
        <f>Clean_Data!G14</f>
        <v>46101</v>
      </c>
      <c r="AR15">
        <f>Clean_Data!K14</f>
        <v>3.7031999999999998</v>
      </c>
      <c r="AS15" s="4">
        <f t="shared" si="17"/>
        <v>-6.3858331097397247E-3</v>
      </c>
      <c r="AT15" s="4">
        <f t="shared" si="26"/>
        <v>-6.5724173082598591E-3</v>
      </c>
      <c r="AU15" s="4">
        <f t="shared" si="6"/>
        <v>1.8938369135867994E-3</v>
      </c>
      <c r="AV15" s="4"/>
      <c r="AW15">
        <f t="shared" si="18"/>
        <v>3.7286999999999999</v>
      </c>
      <c r="AX15" s="4">
        <f t="shared" si="7"/>
        <v>-6.8388446375412526E-3</v>
      </c>
      <c r="BC15" s="1">
        <f>Clean_Data!G14</f>
        <v>46101</v>
      </c>
      <c r="BD15">
        <f>Clean_Data!L14</f>
        <v>4.2767999999999997</v>
      </c>
      <c r="BE15" s="4">
        <f t="shared" si="19"/>
        <v>-3.2724042821752342E-4</v>
      </c>
      <c r="BF15" s="4">
        <f t="shared" si="27"/>
        <v>1.7567282692712016E-3</v>
      </c>
      <c r="BG15" s="4">
        <f t="shared" si="8"/>
        <v>-3.2724042821752342E-4</v>
      </c>
      <c r="BH15" s="4"/>
      <c r="BI15">
        <f t="shared" si="20"/>
        <v>4.2835999999999999</v>
      </c>
      <c r="BJ15" s="4">
        <f t="shared" si="21"/>
        <v>-1.5874498085722832E-3</v>
      </c>
      <c r="BO15" s="1">
        <f>Clean_Data!G14</f>
        <v>46101</v>
      </c>
      <c r="BP15">
        <f>Clean_Data!M14</f>
        <v>562.92999999999995</v>
      </c>
      <c r="BQ15" s="4">
        <f t="shared" si="22"/>
        <v>-5.00995578954474E-2</v>
      </c>
      <c r="BR15" s="4">
        <f t="shared" si="28"/>
        <v>-8.4741077961141387E-2</v>
      </c>
      <c r="BS15" s="4">
        <f t="shared" si="9"/>
        <v>-7.7148805718126656E-2</v>
      </c>
      <c r="BT15" s="4"/>
      <c r="BU15">
        <f t="shared" si="23"/>
        <v>615.04999999999995</v>
      </c>
      <c r="BV15" s="4">
        <f t="shared" si="10"/>
        <v>-8.4741077961141387E-2</v>
      </c>
      <c r="BW15" s="4"/>
    </row>
    <row r="16" spans="6:75" x14ac:dyDescent="0.25">
      <c r="F16" s="1">
        <f>Clean_Data!G15</f>
        <v>46104</v>
      </c>
      <c r="G16" t="str">
        <f>Clean_Data!H15</f>
        <v>3268.15</v>
      </c>
      <c r="H16" s="4">
        <f t="shared" si="11"/>
        <v>6.1666440895040697E-3</v>
      </c>
      <c r="I16" s="4">
        <f t="shared" si="24"/>
        <v>-7.3835369298336229E-3</v>
      </c>
      <c r="J16" s="4">
        <f t="shared" si="0"/>
        <v>1.7840010054164246E-3</v>
      </c>
      <c r="L16" t="str">
        <f t="shared" si="12"/>
        <v>3359.96</v>
      </c>
      <c r="M16" s="4">
        <f t="shared" si="1"/>
        <v>-2.7324730056310198E-2</v>
      </c>
      <c r="R16" s="1">
        <f>Clean_Data!G15</f>
        <v>46104</v>
      </c>
      <c r="S16" t="str">
        <f>Clean_Data!I15</f>
        <v>8297.37</v>
      </c>
      <c r="T16" s="4">
        <f t="shared" si="13"/>
        <v>6.0991358142954422E-3</v>
      </c>
      <c r="U16" s="4">
        <f t="shared" si="25"/>
        <v>-7.6851044592978202E-3</v>
      </c>
      <c r="V16" s="4">
        <f t="shared" si="2"/>
        <v>-2.5716325481014102E-2</v>
      </c>
      <c r="X16" t="str">
        <f t="shared" si="14"/>
        <v>8623.55</v>
      </c>
      <c r="Y16" s="4">
        <f t="shared" si="3"/>
        <v>-3.7824329887343189E-2</v>
      </c>
      <c r="AE16" s="1">
        <f>Clean_Data!G15</f>
        <v>46104</v>
      </c>
      <c r="AF16" t="str">
        <f>Clean_Data!J15</f>
        <v>29248.18</v>
      </c>
      <c r="AG16" s="4">
        <f t="shared" si="15"/>
        <v>-1.3260578842180681E-2</v>
      </c>
      <c r="AH16" s="4">
        <f t="shared" si="29"/>
        <v>-3.2600577763577276E-2</v>
      </c>
      <c r="AI16" s="4">
        <f t="shared" si="4"/>
        <v>-4.5995967165867402E-2</v>
      </c>
      <c r="AK16" t="str">
        <f t="shared" si="16"/>
        <v>30686.76</v>
      </c>
      <c r="AL16" s="4">
        <f t="shared" si="5"/>
        <v>-4.6879501126870338E-2</v>
      </c>
      <c r="AQ16" s="1">
        <f>Clean_Data!G15</f>
        <v>46104</v>
      </c>
      <c r="AR16">
        <f>Clean_Data!K15</f>
        <v>3.7292000000000001</v>
      </c>
      <c r="AS16" s="4">
        <f t="shared" si="17"/>
        <v>7.0209548498596508E-3</v>
      </c>
      <c r="AT16" s="4">
        <f t="shared" si="26"/>
        <v>1.3409499289296356E-4</v>
      </c>
      <c r="AU16" s="4">
        <f t="shared" si="6"/>
        <v>8.9280883069098316E-3</v>
      </c>
      <c r="AV16" s="4"/>
      <c r="AW16">
        <f t="shared" si="18"/>
        <v>3.7292000000000001</v>
      </c>
      <c r="AX16" s="4">
        <f t="shared" si="7"/>
        <v>0</v>
      </c>
      <c r="BC16" s="1">
        <f>Clean_Data!G15</f>
        <v>46104</v>
      </c>
      <c r="BD16">
        <f>Clean_Data!L15</f>
        <v>4.2866999999999997</v>
      </c>
      <c r="BE16" s="4">
        <f t="shared" si="19"/>
        <v>2.3148148148148806E-3</v>
      </c>
      <c r="BF16" s="4">
        <f t="shared" si="27"/>
        <v>4.0520916288002695E-3</v>
      </c>
      <c r="BG16" s="4">
        <f t="shared" si="8"/>
        <v>1.9868168856060908E-3</v>
      </c>
      <c r="BH16" s="4"/>
      <c r="BI16">
        <f t="shared" si="20"/>
        <v>4.2866999999999997</v>
      </c>
      <c r="BJ16" s="4">
        <f t="shared" si="21"/>
        <v>0</v>
      </c>
      <c r="BO16" s="1">
        <f>Clean_Data!G15</f>
        <v>46104</v>
      </c>
      <c r="BP16">
        <f>Clean_Data!M15</f>
        <v>555.59</v>
      </c>
      <c r="BQ16" s="4">
        <f t="shared" si="22"/>
        <v>-1.3038921357895195E-2</v>
      </c>
      <c r="BR16" s="4">
        <f t="shared" si="28"/>
        <v>-8.9032448474315018E-2</v>
      </c>
      <c r="BS16" s="4">
        <f t="shared" si="9"/>
        <v>-8.918178986540759E-2</v>
      </c>
      <c r="BT16" s="4"/>
      <c r="BU16">
        <f t="shared" si="23"/>
        <v>615.04999999999995</v>
      </c>
      <c r="BV16" s="4">
        <f t="shared" si="10"/>
        <v>-9.6675067067718001E-2</v>
      </c>
      <c r="BW16" s="4"/>
    </row>
    <row r="17" spans="6:75" x14ac:dyDescent="0.25">
      <c r="F17" s="1">
        <f>Clean_Data!G16</f>
        <v>46105</v>
      </c>
      <c r="G17" t="str">
        <f>Clean_Data!H16</f>
        <v>3241.42</v>
      </c>
      <c r="H17" s="4">
        <f t="shared" si="11"/>
        <v>-8.1789391551795321E-3</v>
      </c>
      <c r="I17" s="4">
        <f t="shared" si="24"/>
        <v>-3.5280181906927499E-2</v>
      </c>
      <c r="J17" s="4">
        <f t="shared" si="0"/>
        <v>-6.40952938543915E-3</v>
      </c>
      <c r="L17" t="str">
        <f t="shared" si="12"/>
        <v>3359.96</v>
      </c>
      <c r="M17" s="4">
        <f t="shared" si="1"/>
        <v>-3.5280181906927499E-2</v>
      </c>
      <c r="R17" s="1">
        <f>Clean_Data!G16</f>
        <v>46105</v>
      </c>
      <c r="S17" t="str">
        <f>Clean_Data!I16</f>
        <v>8194.25</v>
      </c>
      <c r="T17" s="4">
        <f t="shared" si="13"/>
        <v>-1.2428034425366219E-2</v>
      </c>
      <c r="U17" s="4">
        <f t="shared" si="25"/>
        <v>-4.9782282238753139E-2</v>
      </c>
      <c r="V17" s="4">
        <f t="shared" si="2"/>
        <v>-3.7824756528008319E-2</v>
      </c>
      <c r="X17" t="str">
        <f t="shared" si="14"/>
        <v>8623.55</v>
      </c>
      <c r="Y17" s="4">
        <f t="shared" si="3"/>
        <v>-4.9782282238753139E-2</v>
      </c>
      <c r="AE17" s="1">
        <f>Clean_Data!G16</f>
        <v>46105</v>
      </c>
      <c r="AF17" t="str">
        <f>Clean_Data!J16</f>
        <v>29140.98</v>
      </c>
      <c r="AG17" s="4">
        <f t="shared" si="15"/>
        <v>-3.6651853209328511E-3</v>
      </c>
      <c r="AH17" s="4">
        <f t="shared" si="29"/>
        <v>-4.4107039353977195E-2</v>
      </c>
      <c r="AI17" s="4">
        <f t="shared" si="4"/>
        <v>-4.9492568743121801E-2</v>
      </c>
      <c r="AK17" t="str">
        <f t="shared" si="16"/>
        <v>30686.76</v>
      </c>
      <c r="AL17" s="4">
        <f t="shared" si="5"/>
        <v>-5.0372864388420258E-2</v>
      </c>
      <c r="AQ17" s="1">
        <f>Clean_Data!G16</f>
        <v>46105</v>
      </c>
      <c r="AR17">
        <f>Clean_Data!K16</f>
        <v>3.6850000000000001</v>
      </c>
      <c r="AS17" s="4">
        <f t="shared" si="17"/>
        <v>-1.1852408023168559E-2</v>
      </c>
      <c r="AT17" s="4">
        <f t="shared" si="26"/>
        <v>-5.2907196458457095E-3</v>
      </c>
      <c r="AU17" s="4">
        <f t="shared" si="6"/>
        <v>-3.0301390617391011E-3</v>
      </c>
      <c r="AV17" s="4"/>
      <c r="AW17">
        <f t="shared" si="18"/>
        <v>3.7292000000000001</v>
      </c>
      <c r="AX17" s="4">
        <f t="shared" si="7"/>
        <v>-1.1852408023168559E-2</v>
      </c>
      <c r="BC17" s="1">
        <f>Clean_Data!G16</f>
        <v>46105</v>
      </c>
      <c r="BD17">
        <f>Clean_Data!L16</f>
        <v>4.2728000000000002</v>
      </c>
      <c r="BE17" s="4">
        <f t="shared" si="19"/>
        <v>-3.242587538199504E-3</v>
      </c>
      <c r="BF17" s="4">
        <f t="shared" si="27"/>
        <v>1.4531477054329223E-3</v>
      </c>
      <c r="BG17" s="4">
        <f t="shared" si="8"/>
        <v>-1.2622130802674159E-3</v>
      </c>
      <c r="BH17" s="4"/>
      <c r="BI17">
        <f t="shared" si="20"/>
        <v>4.2866999999999997</v>
      </c>
      <c r="BJ17" s="4">
        <f t="shared" si="21"/>
        <v>-3.242587538199504E-3</v>
      </c>
      <c r="BO17" s="1">
        <f>Clean_Data!G16</f>
        <v>46105</v>
      </c>
      <c r="BP17">
        <f>Clean_Data!M16</f>
        <v>509.82</v>
      </c>
      <c r="BQ17" s="4">
        <f t="shared" si="22"/>
        <v>-8.2380892384672166E-2</v>
      </c>
      <c r="BR17" s="4">
        <f t="shared" si="28"/>
        <v>-0.14507068234031495</v>
      </c>
      <c r="BS17" s="4">
        <f t="shared" si="9"/>
        <v>-0.16421580681650516</v>
      </c>
      <c r="BT17" s="4"/>
      <c r="BU17">
        <f t="shared" si="23"/>
        <v>615.04999999999995</v>
      </c>
      <c r="BV17" s="4">
        <f t="shared" si="10"/>
        <v>-0.17109178115600354</v>
      </c>
      <c r="BW17" s="4"/>
    </row>
    <row r="18" spans="6:75" x14ac:dyDescent="0.25">
      <c r="F18" s="1">
        <f>Clean_Data!G17</f>
        <v>46106</v>
      </c>
      <c r="G18" t="str">
        <f>Clean_Data!H17</f>
        <v>3312.41</v>
      </c>
      <c r="H18" s="4">
        <f t="shared" si="11"/>
        <v>2.1900895286633526E-2</v>
      </c>
      <c r="I18" s="4">
        <f t="shared" si="24"/>
        <v>-7.7257204481456787E-3</v>
      </c>
      <c r="J18" s="4">
        <f t="shared" si="0"/>
        <v>1.5350991469287312E-2</v>
      </c>
      <c r="L18" t="str">
        <f t="shared" si="12"/>
        <v>3359.96</v>
      </c>
      <c r="M18" s="4">
        <f t="shared" si="1"/>
        <v>-1.4151954189930871E-2</v>
      </c>
      <c r="R18" s="1">
        <f>Clean_Data!G17</f>
        <v>46106</v>
      </c>
      <c r="S18" t="str">
        <f>Clean_Data!I17</f>
        <v>8298.55</v>
      </c>
      <c r="T18" s="4">
        <f t="shared" si="13"/>
        <v>1.27284376239436E-2</v>
      </c>
      <c r="U18" s="4">
        <f t="shared" si="25"/>
        <v>-2.7984871396326993E-2</v>
      </c>
      <c r="V18" s="4">
        <f t="shared" si="2"/>
        <v>-2.557776895817232E-2</v>
      </c>
      <c r="X18" t="str">
        <f t="shared" si="14"/>
        <v>8623.55</v>
      </c>
      <c r="Y18" s="4">
        <f t="shared" si="3"/>
        <v>-3.7687495289063122E-2</v>
      </c>
      <c r="AE18" s="1">
        <f>Clean_Data!G17</f>
        <v>46106</v>
      </c>
      <c r="AF18" t="str">
        <f>Clean_Data!J17</f>
        <v>29515.4</v>
      </c>
      <c r="AG18" s="4">
        <f t="shared" si="15"/>
        <v>1.284857269728068E-2</v>
      </c>
      <c r="AH18" s="4">
        <f t="shared" si="29"/>
        <v>-2.6393081827393972E-2</v>
      </c>
      <c r="AI18" s="4">
        <f t="shared" si="4"/>
        <v>-3.7279904913312234E-2</v>
      </c>
      <c r="AK18" t="str">
        <f t="shared" si="16"/>
        <v>30686.76</v>
      </c>
      <c r="AL18" s="4">
        <f t="shared" si="5"/>
        <v>-3.8171511101204425E-2</v>
      </c>
      <c r="AQ18" s="1">
        <f>Clean_Data!G17</f>
        <v>46106</v>
      </c>
      <c r="AR18">
        <f>Clean_Data!K17</f>
        <v>3.6802999999999999</v>
      </c>
      <c r="AS18" s="4">
        <f t="shared" si="17"/>
        <v>-1.2754409769335506E-3</v>
      </c>
      <c r="AT18" s="4">
        <f t="shared" si="26"/>
        <v>-3.4389385323585486E-3</v>
      </c>
      <c r="AU18" s="4">
        <f t="shared" si="6"/>
        <v>-4.3017152751475551E-3</v>
      </c>
      <c r="AV18" s="4"/>
      <c r="AW18">
        <f t="shared" si="18"/>
        <v>3.7292000000000001</v>
      </c>
      <c r="AX18" s="4">
        <f t="shared" si="7"/>
        <v>-1.3112731953234036E-2</v>
      </c>
      <c r="BC18" s="1">
        <f>Clean_Data!G17</f>
        <v>46106</v>
      </c>
      <c r="BD18">
        <f>Clean_Data!L17</f>
        <v>4.2691999999999997</v>
      </c>
      <c r="BE18" s="4">
        <f t="shared" si="19"/>
        <v>-8.4253885040264098E-4</v>
      </c>
      <c r="BF18" s="4">
        <f t="shared" si="27"/>
        <v>1.8538943514887496E-3</v>
      </c>
      <c r="BG18" s="4">
        <f t="shared" si="8"/>
        <v>-2.1036884671123968E-3</v>
      </c>
      <c r="BH18" s="4"/>
      <c r="BI18">
        <f t="shared" si="20"/>
        <v>4.2866999999999997</v>
      </c>
      <c r="BJ18" s="4">
        <f t="shared" si="21"/>
        <v>-4.082394382625365E-3</v>
      </c>
      <c r="BO18" s="1">
        <f>Clean_Data!G17</f>
        <v>46106</v>
      </c>
      <c r="BP18">
        <f>Clean_Data!M17</f>
        <v>524.34</v>
      </c>
      <c r="BQ18" s="4">
        <f t="shared" si="22"/>
        <v>2.8480640225962084E-2</v>
      </c>
      <c r="BR18" s="4">
        <f t="shared" si="28"/>
        <v>-0.12120805819059421</v>
      </c>
      <c r="BS18" s="4">
        <f t="shared" si="9"/>
        <v>-0.14041213790390006</v>
      </c>
      <c r="BT18" s="4"/>
      <c r="BU18">
        <f t="shared" si="23"/>
        <v>615.04999999999995</v>
      </c>
      <c r="BV18" s="4">
        <f t="shared" si="10"/>
        <v>-0.14748394439476453</v>
      </c>
      <c r="BW18" s="4"/>
    </row>
    <row r="19" spans="6:75" x14ac:dyDescent="0.25">
      <c r="F19" s="1">
        <f>Clean_Data!G18</f>
        <v>46107</v>
      </c>
      <c r="G19" t="str">
        <f>Clean_Data!H18</f>
        <v>3306.6</v>
      </c>
      <c r="H19" s="4">
        <f t="shared" si="11"/>
        <v>-1.7540099202695281E-3</v>
      </c>
      <c r="I19" s="4">
        <f t="shared" si="24"/>
        <v>9.1650720112799178E-3</v>
      </c>
      <c r="J19" s="4">
        <f t="shared" si="0"/>
        <v>1.3570055757694544E-2</v>
      </c>
      <c r="L19" t="str">
        <f t="shared" si="12"/>
        <v>3359.96</v>
      </c>
      <c r="M19" s="4">
        <f t="shared" si="1"/>
        <v>-1.5881141442160018E-2</v>
      </c>
      <c r="R19" s="1">
        <f>Clean_Data!G18</f>
        <v>46107</v>
      </c>
      <c r="S19" t="str">
        <f>Clean_Data!I18</f>
        <v>8273.52</v>
      </c>
      <c r="T19" s="4">
        <f t="shared" si="13"/>
        <v>-3.0161895752871537E-3</v>
      </c>
      <c r="U19" s="4">
        <f t="shared" si="25"/>
        <v>-1.7269456497337465E-2</v>
      </c>
      <c r="V19" s="4">
        <f t="shared" si="2"/>
        <v>-2.851681113336868E-2</v>
      </c>
      <c r="X19" t="str">
        <f t="shared" si="14"/>
        <v>8623.55</v>
      </c>
      <c r="Y19" s="4">
        <f t="shared" si="3"/>
        <v>-4.0590012233940653E-2</v>
      </c>
      <c r="AE19" s="1">
        <f>Clean_Data!G18</f>
        <v>46107</v>
      </c>
      <c r="AF19" t="str">
        <f>Clean_Data!J18</f>
        <v>29371.5</v>
      </c>
      <c r="AG19" s="4">
        <f t="shared" si="15"/>
        <v>-4.8754209666818094E-3</v>
      </c>
      <c r="AH19" s="4">
        <f t="shared" si="29"/>
        <v>-1.5547983635536111E-2</v>
      </c>
      <c r="AI19" s="4">
        <f t="shared" si="4"/>
        <v>-4.1973570649943892E-2</v>
      </c>
      <c r="AK19" t="str">
        <f t="shared" si="16"/>
        <v>30686.76</v>
      </c>
      <c r="AL19" s="4">
        <f t="shared" si="5"/>
        <v>-4.2860829882333529E-2</v>
      </c>
      <c r="AQ19" s="1">
        <f>Clean_Data!G18</f>
        <v>46107</v>
      </c>
      <c r="AR19">
        <f>Clean_Data!K18</f>
        <v>3.6947999999999999</v>
      </c>
      <c r="AS19" s="4">
        <f t="shared" si="17"/>
        <v>3.9398962041137242E-3</v>
      </c>
      <c r="AT19" s="4">
        <f t="shared" si="26"/>
        <v>-8.6396565602361308E-3</v>
      </c>
      <c r="AU19" s="4">
        <f t="shared" si="6"/>
        <v>-3.787673827174709E-4</v>
      </c>
      <c r="AV19" s="4"/>
      <c r="AW19">
        <f t="shared" si="18"/>
        <v>3.7292000000000001</v>
      </c>
      <c r="AX19" s="4">
        <f t="shared" si="7"/>
        <v>-9.2244985519682743E-3</v>
      </c>
      <c r="BC19" s="1">
        <f>Clean_Data!G18</f>
        <v>46107</v>
      </c>
      <c r="BD19">
        <f>Clean_Data!L18</f>
        <v>4.2709999999999999</v>
      </c>
      <c r="BE19" s="4">
        <f t="shared" si="19"/>
        <v>4.2162466035788881E-4</v>
      </c>
      <c r="BF19" s="4">
        <f t="shared" si="27"/>
        <v>-1.6829507736898508E-3</v>
      </c>
      <c r="BG19" s="4">
        <f t="shared" si="8"/>
        <v>-1.6829507736898508E-3</v>
      </c>
      <c r="BH19" s="4"/>
      <c r="BI19">
        <f t="shared" si="20"/>
        <v>4.2866999999999997</v>
      </c>
      <c r="BJ19" s="4">
        <f t="shared" si="21"/>
        <v>-3.662490960412379E-3</v>
      </c>
      <c r="BO19" s="1">
        <f>Clean_Data!G18</f>
        <v>46107</v>
      </c>
      <c r="BP19">
        <f>Clean_Data!M18</f>
        <v>538.46</v>
      </c>
      <c r="BQ19" s="4">
        <f t="shared" si="22"/>
        <v>2.692909181065728E-2</v>
      </c>
      <c r="BR19" s="4">
        <f t="shared" si="28"/>
        <v>-9.1390773176740492E-2</v>
      </c>
      <c r="BS19" s="4">
        <f t="shared" si="9"/>
        <v>-0.11726421744618765</v>
      </c>
      <c r="BT19" s="4"/>
      <c r="BU19">
        <f t="shared" si="23"/>
        <v>615.04999999999995</v>
      </c>
      <c r="BV19" s="4">
        <f t="shared" si="10"/>
        <v>-0.12452646126331179</v>
      </c>
      <c r="BW19" s="4"/>
    </row>
    <row r="20" spans="6:75" x14ac:dyDescent="0.25">
      <c r="F20" s="1">
        <f>Clean_Data!G19</f>
        <v>46108</v>
      </c>
      <c r="G20" t="str">
        <f>Clean_Data!H19</f>
        <v>3268.55</v>
      </c>
      <c r="H20" s="4">
        <f t="shared" si="11"/>
        <v>-1.1507288453396103E-2</v>
      </c>
      <c r="I20" s="4">
        <f t="shared" si="24"/>
        <v>6.2897922490550151E-3</v>
      </c>
      <c r="J20" s="4">
        <f t="shared" si="0"/>
        <v>1.9066127583660109E-3</v>
      </c>
      <c r="L20" t="str">
        <f t="shared" si="12"/>
        <v>3359.96</v>
      </c>
      <c r="M20" s="4">
        <f t="shared" si="1"/>
        <v>-2.7205681020012085E-2</v>
      </c>
      <c r="R20" s="1">
        <f>Clean_Data!G19</f>
        <v>46108</v>
      </c>
      <c r="S20" t="str">
        <f>Clean_Data!I19</f>
        <v>8240.93</v>
      </c>
      <c r="T20" s="4">
        <f t="shared" si="13"/>
        <v>-3.9390730910181526E-3</v>
      </c>
      <c r="U20" s="4">
        <f t="shared" si="25"/>
        <v>-7.4450683697357967E-4</v>
      </c>
      <c r="V20" s="4">
        <f t="shared" si="2"/>
        <v>-3.2343554421009779E-2</v>
      </c>
      <c r="X20" t="str">
        <f t="shared" si="14"/>
        <v>8623.55</v>
      </c>
      <c r="Y20" s="4">
        <f t="shared" si="3"/>
        <v>-4.4369198300003965E-2</v>
      </c>
      <c r="AE20" s="1">
        <f>Clean_Data!G19</f>
        <v>46108</v>
      </c>
      <c r="AF20" t="str">
        <f>Clean_Data!J19</f>
        <v>29055.93</v>
      </c>
      <c r="AG20" s="4">
        <f t="shared" si="15"/>
        <v>-1.0744088657371975E-2</v>
      </c>
      <c r="AH20" s="4">
        <f t="shared" si="29"/>
        <v>-1.9746474843832518E-2</v>
      </c>
      <c r="AI20" s="4">
        <f t="shared" si="4"/>
        <v>-5.2266691542986354E-2</v>
      </c>
      <c r="AK20" t="str">
        <f t="shared" si="16"/>
        <v>30686.76</v>
      </c>
      <c r="AL20" s="4">
        <f t="shared" si="5"/>
        <v>-5.3144417983521208E-2</v>
      </c>
      <c r="AQ20" s="1">
        <f>Clean_Data!G19</f>
        <v>46108</v>
      </c>
      <c r="AR20">
        <f>Clean_Data!K19</f>
        <v>3.7206000000000001</v>
      </c>
      <c r="AS20" s="4">
        <f t="shared" si="17"/>
        <v>6.9827866190321775E-3</v>
      </c>
      <c r="AT20" s="4">
        <f t="shared" si="26"/>
        <v>4.6986390149061918E-3</v>
      </c>
      <c r="AU20" s="4">
        <f t="shared" si="6"/>
        <v>6.6013743845030337E-3</v>
      </c>
      <c r="AV20" s="4"/>
      <c r="AW20">
        <f t="shared" si="18"/>
        <v>3.7292000000000001</v>
      </c>
      <c r="AX20" s="4">
        <f t="shared" si="7"/>
        <v>-2.3061246379920686E-3</v>
      </c>
      <c r="BC20" s="1">
        <f>Clean_Data!G19</f>
        <v>46108</v>
      </c>
      <c r="BD20">
        <f>Clean_Data!L19</f>
        <v>4.2858000000000001</v>
      </c>
      <c r="BE20" s="4">
        <f t="shared" si="19"/>
        <v>3.4652306251463649E-3</v>
      </c>
      <c r="BF20" s="4">
        <f t="shared" si="27"/>
        <v>2.1043771043771642E-3</v>
      </c>
      <c r="BG20" s="4">
        <f t="shared" si="8"/>
        <v>1.7764480388948733E-3</v>
      </c>
      <c r="BH20" s="4"/>
      <c r="BI20">
        <f t="shared" si="20"/>
        <v>4.2866999999999997</v>
      </c>
      <c r="BJ20" s="4">
        <f t="shared" si="21"/>
        <v>-2.09951711106382E-4</v>
      </c>
      <c r="BO20" s="1">
        <f>Clean_Data!G19</f>
        <v>46108</v>
      </c>
      <c r="BP20">
        <f>Clean_Data!M19</f>
        <v>525.4</v>
      </c>
      <c r="BQ20" s="4">
        <f t="shared" si="22"/>
        <v>-2.4254355012442996E-2</v>
      </c>
      <c r="BR20" s="4">
        <f t="shared" si="28"/>
        <v>-6.666903522640466E-2</v>
      </c>
      <c r="BS20" s="4">
        <f t="shared" si="9"/>
        <v>-0.13867440449843449</v>
      </c>
      <c r="BT20" s="4"/>
      <c r="BU20">
        <f t="shared" si="23"/>
        <v>615.04999999999995</v>
      </c>
      <c r="BV20" s="4">
        <f t="shared" si="10"/>
        <v>-0.14576050727583123</v>
      </c>
      <c r="BW20" s="4"/>
    </row>
    <row r="21" spans="6:75" x14ac:dyDescent="0.25">
      <c r="F21" s="1">
        <f>Clean_Data!G20</f>
        <v>46111</v>
      </c>
      <c r="G21" t="str">
        <f>Clean_Data!H20</f>
        <v>3283.06</v>
      </c>
      <c r="H21" s="4">
        <f t="shared" si="11"/>
        <v>4.4392773554020604E-3</v>
      </c>
      <c r="I21" s="4">
        <f t="shared" si="24"/>
        <v>4.5622140966601332E-3</v>
      </c>
      <c r="J21" s="4">
        <f t="shared" si="0"/>
        <v>6.3543540966120027E-3</v>
      </c>
      <c r="L21" t="str">
        <f t="shared" si="12"/>
        <v>3359.96</v>
      </c>
      <c r="M21" s="4">
        <f t="shared" si="1"/>
        <v>-2.2887177228300359E-2</v>
      </c>
      <c r="R21" s="1">
        <f>Clean_Data!G20</f>
        <v>46111</v>
      </c>
      <c r="S21" t="str">
        <f>Clean_Data!I20</f>
        <v>8288.88</v>
      </c>
      <c r="T21" s="4">
        <f t="shared" si="13"/>
        <v>5.8185180556076244E-3</v>
      </c>
      <c r="U21" s="4">
        <f t="shared" si="25"/>
        <v>-1.0232157900638139E-3</v>
      </c>
      <c r="V21" s="4">
        <f t="shared" si="2"/>
        <v>-2.6713227920783233E-2</v>
      </c>
      <c r="X21" t="str">
        <f t="shared" si="14"/>
        <v>8623.55</v>
      </c>
      <c r="Y21" s="4">
        <f t="shared" si="3"/>
        <v>-3.880884322581768E-2</v>
      </c>
      <c r="AE21" s="1">
        <f>Clean_Data!G20</f>
        <v>46111</v>
      </c>
      <c r="AF21" t="str">
        <f>Clean_Data!J20</f>
        <v>29017.61</v>
      </c>
      <c r="AG21" s="4">
        <f t="shared" si="15"/>
        <v>-1.3188357763802561E-3</v>
      </c>
      <c r="AH21" s="4">
        <f t="shared" si="29"/>
        <v>-7.8832255545473462E-3</v>
      </c>
      <c r="AI21" s="4">
        <f t="shared" si="4"/>
        <v>-5.351659613664661E-2</v>
      </c>
      <c r="AK21" t="str">
        <f t="shared" si="16"/>
        <v>30686.76</v>
      </c>
      <c r="AL21" s="4">
        <f t="shared" si="5"/>
        <v>-5.439316500014979E-2</v>
      </c>
      <c r="AQ21" s="1">
        <f>Clean_Data!G20</f>
        <v>46111</v>
      </c>
      <c r="AR21">
        <f>Clean_Data!K20</f>
        <v>3.7256999999999998</v>
      </c>
      <c r="AS21" s="4">
        <f t="shared" si="17"/>
        <v>1.3707466537653534E-3</v>
      </c>
      <c r="AT21" s="4">
        <f t="shared" si="26"/>
        <v>-9.3853909685726045E-4</v>
      </c>
      <c r="AU21" s="4">
        <f t="shared" si="6"/>
        <v>7.9811698501162098E-3</v>
      </c>
      <c r="AV21" s="4"/>
      <c r="AW21">
        <f t="shared" si="18"/>
        <v>3.7292000000000001</v>
      </c>
      <c r="AX21" s="4">
        <f t="shared" si="7"/>
        <v>-9.3853909685726045E-4</v>
      </c>
      <c r="BC21" s="1">
        <f>Clean_Data!G20</f>
        <v>46111</v>
      </c>
      <c r="BD21">
        <f>Clean_Data!L20</f>
        <v>4.2831999999999999</v>
      </c>
      <c r="BE21" s="4">
        <f t="shared" si="19"/>
        <v>-6.0665453357600096E-4</v>
      </c>
      <c r="BF21" s="4">
        <f t="shared" si="27"/>
        <v>-8.164788765250286E-4</v>
      </c>
      <c r="BG21" s="4">
        <f t="shared" si="8"/>
        <v>1.1687158150623933E-3</v>
      </c>
      <c r="BH21" s="4"/>
      <c r="BI21">
        <f t="shared" si="20"/>
        <v>4.2866999999999997</v>
      </c>
      <c r="BJ21" s="4">
        <f t="shared" si="21"/>
        <v>-8.164788765250286E-4</v>
      </c>
      <c r="BO21" s="1">
        <f>Clean_Data!G20</f>
        <v>46111</v>
      </c>
      <c r="BP21">
        <f>Clean_Data!M20</f>
        <v>529.66</v>
      </c>
      <c r="BQ21" s="4">
        <f t="shared" si="22"/>
        <v>8.1081081081080253E-3</v>
      </c>
      <c r="BR21" s="4">
        <f t="shared" si="28"/>
        <v>-4.6671106391403816E-2</v>
      </c>
      <c r="BS21" s="4">
        <f t="shared" si="9"/>
        <v>-0.13169068345382717</v>
      </c>
      <c r="BT21" s="4"/>
      <c r="BU21">
        <f t="shared" si="23"/>
        <v>615.04999999999995</v>
      </c>
      <c r="BV21" s="4">
        <f t="shared" si="10"/>
        <v>-0.1388342411186082</v>
      </c>
      <c r="BW21" s="4"/>
    </row>
    <row r="22" spans="6:75" x14ac:dyDescent="0.25">
      <c r="F22" s="1">
        <f>Clean_Data!G21</f>
        <v>46112</v>
      </c>
      <c r="G22" t="str">
        <f>Clean_Data!H21</f>
        <v>3340.77</v>
      </c>
      <c r="H22" s="4">
        <f t="shared" si="11"/>
        <v>1.7578113101801351E-2</v>
      </c>
      <c r="I22" s="4">
        <f t="shared" si="24"/>
        <v>3.0650147157727181E-2</v>
      </c>
      <c r="J22" s="4">
        <f t="shared" si="0"/>
        <v>2.4044164753412423E-2</v>
      </c>
      <c r="L22" t="str">
        <f t="shared" si="12"/>
        <v>3359.96</v>
      </c>
      <c r="M22" s="4">
        <f t="shared" si="1"/>
        <v>-5.7113775163990521E-3</v>
      </c>
      <c r="R22" s="1">
        <f>Clean_Data!G21</f>
        <v>46112</v>
      </c>
      <c r="S22" t="str">
        <f>Clean_Data!I21</f>
        <v>8467.42</v>
      </c>
      <c r="T22" s="4">
        <f t="shared" si="13"/>
        <v>2.153970138305783E-2</v>
      </c>
      <c r="U22" s="4">
        <f t="shared" si="25"/>
        <v>3.3336791042499314E-2</v>
      </c>
      <c r="V22" s="4">
        <f t="shared" si="2"/>
        <v>-5.7489214901166319E-3</v>
      </c>
      <c r="X22" t="str">
        <f t="shared" si="14"/>
        <v>8623.55</v>
      </c>
      <c r="Y22" s="4">
        <f t="shared" si="3"/>
        <v>-1.810507273686579E-2</v>
      </c>
      <c r="AE22" s="1">
        <f>Clean_Data!G21</f>
        <v>46112</v>
      </c>
      <c r="AF22" t="str">
        <f>Clean_Data!J21</f>
        <v>29614.66</v>
      </c>
      <c r="AG22" s="4">
        <f t="shared" si="15"/>
        <v>2.0575436777873879E-2</v>
      </c>
      <c r="AH22" s="4">
        <f t="shared" si="29"/>
        <v>1.6254772488776936E-2</v>
      </c>
      <c r="AI22" s="4">
        <f t="shared" si="4"/>
        <v>-3.4042286699149438E-2</v>
      </c>
      <c r="AK22" t="str">
        <f t="shared" si="16"/>
        <v>30686.76</v>
      </c>
      <c r="AL22" s="4">
        <f t="shared" si="5"/>
        <v>-3.4936891349885091E-2</v>
      </c>
      <c r="AQ22" s="1">
        <f>Clean_Data!G21</f>
        <v>46112</v>
      </c>
      <c r="AR22">
        <f>Clean_Data!K21</f>
        <v>3.7408000000000001</v>
      </c>
      <c r="AS22" s="4">
        <f t="shared" si="17"/>
        <v>4.0529296508040602E-3</v>
      </c>
      <c r="AT22" s="4">
        <f t="shared" si="26"/>
        <v>1.5142469470827757E-2</v>
      </c>
      <c r="AU22" s="4">
        <f t="shared" si="6"/>
        <v>1.2066446620853766E-2</v>
      </c>
      <c r="AV22" s="4"/>
      <c r="AW22">
        <f t="shared" si="18"/>
        <v>3.7408000000000001</v>
      </c>
      <c r="AX22" s="4">
        <f t="shared" si="7"/>
        <v>0</v>
      </c>
      <c r="BC22" s="1">
        <f>Clean_Data!G21</f>
        <v>46112</v>
      </c>
      <c r="BD22">
        <f>Clean_Data!L21</f>
        <v>4.2893999999999997</v>
      </c>
      <c r="BE22" s="4">
        <f t="shared" si="19"/>
        <v>1.4475158759805762E-3</v>
      </c>
      <c r="BF22" s="4">
        <f t="shared" si="27"/>
        <v>3.8850402546337648E-3</v>
      </c>
      <c r="BG22" s="4">
        <f t="shared" si="8"/>
        <v>2.6179234257397432E-3</v>
      </c>
      <c r="BH22" s="4"/>
      <c r="BI22">
        <f t="shared" si="20"/>
        <v>4.2893999999999997</v>
      </c>
      <c r="BJ22" s="4">
        <f t="shared" si="21"/>
        <v>0</v>
      </c>
      <c r="BO22" s="1">
        <f>Clean_Data!G21</f>
        <v>46112</v>
      </c>
      <c r="BP22">
        <f>Clean_Data!M21</f>
        <v>543.51</v>
      </c>
      <c r="BQ22" s="4">
        <f t="shared" si="22"/>
        <v>2.6148850205792495E-2</v>
      </c>
      <c r="BR22" s="4">
        <f t="shared" si="28"/>
        <v>6.6082146639990569E-2</v>
      </c>
      <c r="BS22" s="4">
        <f t="shared" si="9"/>
        <v>-0.10898539320316725</v>
      </c>
      <c r="BT22" s="4"/>
      <c r="BU22">
        <f t="shared" si="23"/>
        <v>615.04999999999995</v>
      </c>
      <c r="BV22" s="4">
        <f t="shared" si="10"/>
        <v>-0.11631574668726119</v>
      </c>
      <c r="BW22" s="4"/>
    </row>
    <row r="23" spans="6:75" x14ac:dyDescent="0.25">
      <c r="F23" s="1">
        <f>Clean_Data!G22</f>
        <v>46113</v>
      </c>
      <c r="G23" t="str">
        <f>Clean_Data!H22</f>
        <v>3402.92</v>
      </c>
      <c r="H23" s="4">
        <f t="shared" si="11"/>
        <v>1.8603495601313469E-2</v>
      </c>
      <c r="I23" s="4">
        <f t="shared" si="24"/>
        <v>2.7324515986849596E-2</v>
      </c>
      <c r="J23" s="4">
        <f t="shared" si="0"/>
        <v>0</v>
      </c>
      <c r="L23" t="str">
        <f t="shared" si="12"/>
        <v>3402.92</v>
      </c>
      <c r="M23" s="4">
        <f t="shared" si="1"/>
        <v>0</v>
      </c>
      <c r="R23" s="1">
        <f>Clean_Data!G22</f>
        <v>46113</v>
      </c>
      <c r="S23" t="str">
        <f>Clean_Data!I22</f>
        <v>8580.74</v>
      </c>
      <c r="T23" s="4">
        <f t="shared" si="13"/>
        <v>1.3383061192193013E-2</v>
      </c>
      <c r="U23" s="4">
        <f t="shared" si="25"/>
        <v>3.4004735767091843E-2</v>
      </c>
      <c r="V23" s="4">
        <f t="shared" si="2"/>
        <v>0</v>
      </c>
      <c r="X23" t="str">
        <f t="shared" si="14"/>
        <v>8623.55</v>
      </c>
      <c r="Y23" s="4">
        <f t="shared" si="3"/>
        <v>-4.9643128409992965E-3</v>
      </c>
      <c r="AE23" s="1">
        <f>Clean_Data!G22</f>
        <v>46113</v>
      </c>
      <c r="AF23" t="str">
        <f>Clean_Data!J22</f>
        <v>29908.97</v>
      </c>
      <c r="AG23" s="4">
        <f t="shared" si="15"/>
        <v>9.9379834176722692E-3</v>
      </c>
      <c r="AH23" s="4">
        <f t="shared" si="29"/>
        <v>1.3334394926038495E-2</v>
      </c>
      <c r="AI23" s="4">
        <f t="shared" si="4"/>
        <v>0</v>
      </c>
      <c r="AK23" t="str">
        <f t="shared" si="16"/>
        <v>30686.76</v>
      </c>
      <c r="AL23" s="4">
        <f t="shared" si="5"/>
        <v>-2.5346110179113035E-2</v>
      </c>
      <c r="AQ23" s="1">
        <f>Clean_Data!G22</f>
        <v>46113</v>
      </c>
      <c r="AR23">
        <f>Clean_Data!K22</f>
        <v>3.6972</v>
      </c>
      <c r="AS23" s="4">
        <f t="shared" si="17"/>
        <v>-1.1655260906757947E-2</v>
      </c>
      <c r="AT23" s="4">
        <f t="shared" si="26"/>
        <v>4.5920169551396661E-3</v>
      </c>
      <c r="AU23" s="4">
        <f t="shared" si="6"/>
        <v>0</v>
      </c>
      <c r="AV23" s="4"/>
      <c r="AW23">
        <f t="shared" si="18"/>
        <v>3.7408000000000001</v>
      </c>
      <c r="AX23" s="4">
        <f t="shared" si="7"/>
        <v>-1.1655260906757947E-2</v>
      </c>
      <c r="BC23" s="1">
        <f>Clean_Data!G22</f>
        <v>46113</v>
      </c>
      <c r="BD23">
        <f>Clean_Data!L22</f>
        <v>4.2873999999999999</v>
      </c>
      <c r="BE23" s="4">
        <f t="shared" si="19"/>
        <v>-4.6626567818341957E-4</v>
      </c>
      <c r="BF23" s="4">
        <f t="shared" si="27"/>
        <v>4.2630937880634434E-3</v>
      </c>
      <c r="BG23" s="4">
        <f t="shared" si="8"/>
        <v>0</v>
      </c>
      <c r="BH23" s="4"/>
      <c r="BI23">
        <f t="shared" si="20"/>
        <v>4.2893999999999997</v>
      </c>
      <c r="BJ23" s="4">
        <f t="shared" si="21"/>
        <v>-4.6626567818341957E-4</v>
      </c>
      <c r="BO23" s="1">
        <f>Clean_Data!G22</f>
        <v>46113</v>
      </c>
      <c r="BP23">
        <f>Clean_Data!M22</f>
        <v>549.34</v>
      </c>
      <c r="BQ23" s="4">
        <f t="shared" si="22"/>
        <v>1.0726573568103692E-2</v>
      </c>
      <c r="BR23" s="4">
        <f t="shared" si="28"/>
        <v>4.7678986916885879E-2</v>
      </c>
      <c r="BS23" s="4">
        <f t="shared" si="9"/>
        <v>0</v>
      </c>
      <c r="BT23" s="4"/>
      <c r="BU23">
        <f t="shared" si="23"/>
        <v>615.04999999999995</v>
      </c>
      <c r="BV23" s="4">
        <f t="shared" si="10"/>
        <v>-0.10683684253312731</v>
      </c>
      <c r="BW23" s="4"/>
    </row>
    <row r="24" spans="6:75" x14ac:dyDescent="0.25">
      <c r="F24" s="1">
        <f>Clean_Data!G23</f>
        <v>46114</v>
      </c>
      <c r="G24" t="str">
        <f>Clean_Data!H23</f>
        <v>3433.65</v>
      </c>
      <c r="H24" s="4">
        <f t="shared" si="11"/>
        <v>9.030479705664618E-3</v>
      </c>
      <c r="I24" s="4">
        <f t="shared" si="24"/>
        <v>3.8423153692614731E-2</v>
      </c>
      <c r="J24" s="4">
        <f t="shared" si="0"/>
        <v>9.030479705664618E-3</v>
      </c>
      <c r="L24" t="str">
        <f t="shared" si="12"/>
        <v>3433.65</v>
      </c>
      <c r="M24" s="4">
        <f t="shared" si="1"/>
        <v>0</v>
      </c>
      <c r="R24" s="1">
        <f>Clean_Data!G23</f>
        <v>46114</v>
      </c>
      <c r="S24" t="str">
        <f>Clean_Data!I23</f>
        <v>8652.4</v>
      </c>
      <c r="T24" s="4">
        <f t="shared" si="13"/>
        <v>8.3512610800466902E-3</v>
      </c>
      <c r="U24" s="4">
        <f t="shared" si="25"/>
        <v>4.5794293118285756E-2</v>
      </c>
      <c r="V24" s="4">
        <f t="shared" si="2"/>
        <v>8.3512610800466902E-3</v>
      </c>
      <c r="X24" t="str">
        <f t="shared" si="14"/>
        <v>8652.4</v>
      </c>
      <c r="Y24" s="4">
        <f t="shared" si="3"/>
        <v>0</v>
      </c>
      <c r="AE24" s="1">
        <f>Clean_Data!G23</f>
        <v>46114</v>
      </c>
      <c r="AF24" t="str">
        <f>Clean_Data!J23</f>
        <v>29881.32</v>
      </c>
      <c r="AG24" s="4">
        <f t="shared" si="15"/>
        <v>-9.2447182233290626E-4</v>
      </c>
      <c r="AH24" s="4">
        <f t="shared" si="29"/>
        <v>1.7357642612736868E-2</v>
      </c>
      <c r="AI24" s="4">
        <f t="shared" si="4"/>
        <v>-9.2447182233290626E-4</v>
      </c>
      <c r="AK24" t="str">
        <f t="shared" si="16"/>
        <v>30686.76</v>
      </c>
      <c r="AL24" s="4">
        <f t="shared" si="5"/>
        <v>-2.6247150236779593E-2</v>
      </c>
      <c r="AQ24" s="1">
        <f>Clean_Data!G23</f>
        <v>46114</v>
      </c>
      <c r="AR24">
        <f>Clean_Data!K23</f>
        <v>3.7195</v>
      </c>
      <c r="AS24" s="4">
        <f t="shared" si="17"/>
        <v>6.0315914746293942E-3</v>
      </c>
      <c r="AT24" s="4">
        <f t="shared" si="26"/>
        <v>6.6850709104688821E-3</v>
      </c>
      <c r="AU24" s="4">
        <f t="shared" si="6"/>
        <v>6.0315914746293942E-3</v>
      </c>
      <c r="AV24" s="4"/>
      <c r="AW24">
        <f t="shared" si="18"/>
        <v>3.7408000000000001</v>
      </c>
      <c r="AX24" s="4">
        <f t="shared" si="7"/>
        <v>-5.6939692044483126E-3</v>
      </c>
      <c r="BC24" s="1">
        <f>Clean_Data!G23</f>
        <v>46114</v>
      </c>
      <c r="BD24">
        <f>Clean_Data!L23</f>
        <v>4.2869000000000002</v>
      </c>
      <c r="BE24" s="4">
        <f t="shared" si="19"/>
        <v>-1.1662079582019924E-4</v>
      </c>
      <c r="BF24" s="4">
        <f t="shared" si="27"/>
        <v>3.7227815499882855E-3</v>
      </c>
      <c r="BG24" s="4">
        <f t="shared" si="8"/>
        <v>-1.1662079582019924E-4</v>
      </c>
      <c r="BH24" s="4"/>
      <c r="BI24">
        <f t="shared" si="20"/>
        <v>4.2893999999999997</v>
      </c>
      <c r="BJ24" s="4">
        <f t="shared" si="21"/>
        <v>-5.8283209772913569E-4</v>
      </c>
      <c r="BO24" s="1">
        <f>Clean_Data!G23</f>
        <v>46114</v>
      </c>
      <c r="BP24">
        <f>Clean_Data!M23</f>
        <v>561.97</v>
      </c>
      <c r="BQ24" s="4">
        <f t="shared" si="22"/>
        <v>2.2991225834637863E-2</v>
      </c>
      <c r="BR24" s="4">
        <f t="shared" si="28"/>
        <v>4.3661553318723678E-2</v>
      </c>
      <c r="BS24" s="4">
        <f t="shared" si="9"/>
        <v>2.2991225834637863E-2</v>
      </c>
      <c r="BT24" s="4"/>
      <c r="BU24">
        <f t="shared" si="23"/>
        <v>615.04999999999995</v>
      </c>
      <c r="BV24" s="4">
        <f t="shared" si="10"/>
        <v>-8.6301926672628149E-2</v>
      </c>
      <c r="BW24" s="4"/>
    </row>
    <row r="25" spans="6:75" x14ac:dyDescent="0.25">
      <c r="F25" s="1">
        <f>Clean_Data!G24</f>
        <v>46119</v>
      </c>
      <c r="G25" t="str">
        <f>Clean_Data!H24</f>
        <v>3416.8</v>
      </c>
      <c r="H25" s="4">
        <f t="shared" si="11"/>
        <v>-4.9073143739168934E-3</v>
      </c>
      <c r="I25" s="4">
        <f t="shared" si="24"/>
        <v>4.535650364840671E-2</v>
      </c>
      <c r="J25" s="4">
        <f t="shared" si="0"/>
        <v>4.0788499288846314E-3</v>
      </c>
      <c r="K25" s="4">
        <f>_xlfn.STDEV.S(H6:H25)*SQRT(252)</f>
        <v>0.19452752320370686</v>
      </c>
      <c r="L25" t="str">
        <f t="shared" si="12"/>
        <v>3433.65</v>
      </c>
      <c r="M25" s="4">
        <f t="shared" si="1"/>
        <v>-4.9073143739168934E-3</v>
      </c>
      <c r="R25" s="1">
        <f>Clean_Data!G24</f>
        <v>46119</v>
      </c>
      <c r="S25" t="str">
        <f>Clean_Data!I24</f>
        <v>8632.3</v>
      </c>
      <c r="T25" s="4">
        <f t="shared" si="13"/>
        <v>-2.323054874947994E-3</v>
      </c>
      <c r="U25" s="4">
        <f t="shared" si="25"/>
        <v>4.7490999195479056E-2</v>
      </c>
      <c r="V25" s="4">
        <f t="shared" si="2"/>
        <v>6.0088057673346462E-3</v>
      </c>
      <c r="W25" s="4">
        <f>_xlfn.STDEV.S(T6:T25)*SQRT(252)</f>
        <v>0.20985758583732048</v>
      </c>
      <c r="X25" t="str">
        <f t="shared" si="14"/>
        <v>8652.4</v>
      </c>
      <c r="Y25" s="4">
        <f t="shared" si="3"/>
        <v>-2.323054874947994E-3</v>
      </c>
      <c r="AE25" s="1">
        <f>Clean_Data!G24</f>
        <v>46119</v>
      </c>
      <c r="AF25" t="str">
        <f>Clean_Data!J24</f>
        <v>29749.2</v>
      </c>
      <c r="AG25" s="4">
        <f t="shared" si="15"/>
        <v>-4.421491420057766E-3</v>
      </c>
      <c r="AH25" s="4">
        <f t="shared" si="29"/>
        <v>2.3859845477326003E-2</v>
      </c>
      <c r="AI25" s="4">
        <f t="shared" si="4"/>
        <v>-5.3418756981601367E-3</v>
      </c>
      <c r="AJ25" s="4">
        <f>_xlfn.STDEV.S(AG6:AG25)*SQRT(252)</f>
        <v>0.14829018405971425</v>
      </c>
      <c r="AK25" t="str">
        <f t="shared" si="16"/>
        <v>30686.76</v>
      </c>
      <c r="AL25" s="4">
        <f t="shared" si="5"/>
        <v>-3.055259010726441E-2</v>
      </c>
      <c r="AQ25" s="1">
        <f>Clean_Data!G24</f>
        <v>46119</v>
      </c>
      <c r="AR25">
        <f>Clean_Data!K24</f>
        <v>3.6888000000000001</v>
      </c>
      <c r="AS25" s="4">
        <f t="shared" si="17"/>
        <v>-8.2537975534345831E-3</v>
      </c>
      <c r="AT25" s="4">
        <f t="shared" si="26"/>
        <v>-8.5470085470085166E-3</v>
      </c>
      <c r="AU25" s="4">
        <f t="shared" si="6"/>
        <v>-2.2719896137617379E-3</v>
      </c>
      <c r="AV25" s="4">
        <f>_xlfn.STDEV.S(AS6:AS25)*SQRT(252)</f>
        <v>0.12241326238928203</v>
      </c>
      <c r="AW25">
        <f t="shared" si="18"/>
        <v>3.7408000000000001</v>
      </c>
      <c r="AX25" s="4">
        <f t="shared" si="7"/>
        <v>-1.3900769888793851E-2</v>
      </c>
      <c r="BC25" s="1">
        <f>Clean_Data!G24</f>
        <v>46119</v>
      </c>
      <c r="BD25">
        <f>Clean_Data!L24</f>
        <v>4.2694000000000001</v>
      </c>
      <c r="BE25" s="4">
        <f t="shared" si="19"/>
        <v>-4.0822039235811625E-3</v>
      </c>
      <c r="BF25" s="4">
        <f t="shared" si="27"/>
        <v>-3.8265901348639719E-3</v>
      </c>
      <c r="BG25" s="4">
        <f t="shared" si="8"/>
        <v>-4.1983486495311695E-3</v>
      </c>
      <c r="BH25" s="4">
        <f>_xlfn.STDEV.S(BE6:BE25)*SQRT(252)</f>
        <v>4.2822770913969944E-2</v>
      </c>
      <c r="BI25">
        <f t="shared" si="20"/>
        <v>4.2893999999999997</v>
      </c>
      <c r="BJ25" s="4">
        <f t="shared" si="21"/>
        <v>-4.6626567818341957E-3</v>
      </c>
      <c r="BO25" s="1">
        <f>Clean_Data!G24</f>
        <v>46119</v>
      </c>
      <c r="BP25">
        <f>Clean_Data!M24</f>
        <v>557.13</v>
      </c>
      <c r="BQ25" s="4">
        <f t="shared" si="22"/>
        <v>-8.6125593892912855E-3</v>
      </c>
      <c r="BR25" s="4">
        <f t="shared" si="28"/>
        <v>6.0392082223068133E-2</v>
      </c>
      <c r="BS25" s="4">
        <f t="shared" si="9"/>
        <v>1.4180653147413125E-2</v>
      </c>
      <c r="BT25" s="4">
        <f>_xlfn.STDEV.S(BQ6:BQ25)*SQRT(252)</f>
        <v>0.42420221069541003</v>
      </c>
      <c r="BU25">
        <f t="shared" si="23"/>
        <v>615.04999999999995</v>
      </c>
      <c r="BV25" s="4">
        <f t="shared" si="10"/>
        <v>-9.4171205593041152E-2</v>
      </c>
      <c r="BW25" s="4"/>
    </row>
    <row r="26" spans="6:75" x14ac:dyDescent="0.25">
      <c r="F26" s="1">
        <f>Clean_Data!G25</f>
        <v>46120</v>
      </c>
      <c r="G26" t="str">
        <f>Clean_Data!H25</f>
        <v>3533.95</v>
      </c>
      <c r="H26" s="4">
        <f t="shared" si="11"/>
        <v>3.4286466869585475E-2</v>
      </c>
      <c r="I26" s="4">
        <f t="shared" si="24"/>
        <v>7.6419559800917414E-2</v>
      </c>
      <c r="J26" s="4">
        <f t="shared" si="0"/>
        <v>3.8505166151422854E-2</v>
      </c>
      <c r="K26" s="4">
        <f t="shared" ref="K26:K64" si="30">_xlfn.STDEV.S(H7:H26)*SQRT(252)</f>
        <v>0.22418262074450945</v>
      </c>
      <c r="L26" t="str">
        <f t="shared" si="12"/>
        <v>3533.95</v>
      </c>
      <c r="M26" s="4">
        <f t="shared" si="1"/>
        <v>0</v>
      </c>
      <c r="R26" s="1">
        <f>Clean_Data!G25</f>
        <v>46120</v>
      </c>
      <c r="S26" t="str">
        <f>Clean_Data!I25</f>
        <v>8918.69</v>
      </c>
      <c r="T26" s="4">
        <f t="shared" si="13"/>
        <v>3.3176557811938956E-2</v>
      </c>
      <c r="U26" s="4">
        <f t="shared" si="25"/>
        <v>7.5982521160880667E-2</v>
      </c>
      <c r="V26" s="4">
        <f t="shared" si="2"/>
        <v>3.9384715071194343E-2</v>
      </c>
      <c r="W26" s="4">
        <f t="shared" ref="W26:W64" si="31">_xlfn.STDEV.S(T7:T26)*SQRT(252)</f>
        <v>0.23789162439536887</v>
      </c>
      <c r="X26" t="str">
        <f t="shared" si="14"/>
        <v>8918.69</v>
      </c>
      <c r="Y26" s="4">
        <f t="shared" si="3"/>
        <v>0</v>
      </c>
      <c r="AE26" s="1">
        <f>Clean_Data!G25</f>
        <v>46120</v>
      </c>
      <c r="AF26" t="str">
        <f>Clean_Data!J25</f>
        <v>30193.93</v>
      </c>
      <c r="AG26" s="4">
        <f t="shared" si="15"/>
        <v>1.4949309561265389E-2</v>
      </c>
      <c r="AH26" s="4">
        <f t="shared" si="29"/>
        <v>4.0538142183315529E-2</v>
      </c>
      <c r="AI26" s="4">
        <f t="shared" si="4"/>
        <v>9.5275765096558551E-3</v>
      </c>
      <c r="AJ26" s="4">
        <f t="shared" ref="AJ26:AJ64" si="32">_xlfn.STDEV.S(AG7:AG26)*SQRT(252)</f>
        <v>0.15635048640822155</v>
      </c>
      <c r="AK26" t="str">
        <f t="shared" si="16"/>
        <v>30686.76</v>
      </c>
      <c r="AL26" s="4">
        <f t="shared" si="5"/>
        <v>-1.6060020673410835E-2</v>
      </c>
      <c r="AQ26" s="1">
        <f>Clean_Data!G25</f>
        <v>46120</v>
      </c>
      <c r="AR26">
        <f>Clean_Data!K25</f>
        <v>3.6488999999999998</v>
      </c>
      <c r="AS26" s="4">
        <f t="shared" si="17"/>
        <v>-1.0816525699414492E-2</v>
      </c>
      <c r="AT26" s="4">
        <f t="shared" si="26"/>
        <v>-2.0613575972300513E-2</v>
      </c>
      <c r="AU26" s="4">
        <f t="shared" si="6"/>
        <v>-1.306394027913016E-2</v>
      </c>
      <c r="AV26" s="4">
        <f t="shared" ref="AV26:AV64" si="33">_xlfn.STDEV.S(AS7:AS26)*SQRT(252)</f>
        <v>0.12750958447457733</v>
      </c>
      <c r="AW26">
        <f t="shared" si="18"/>
        <v>3.7408000000000001</v>
      </c>
      <c r="AX26" s="4">
        <f t="shared" si="7"/>
        <v>-2.4566937553464618E-2</v>
      </c>
      <c r="BC26" s="1">
        <f>Clean_Data!G25</f>
        <v>46120</v>
      </c>
      <c r="BD26">
        <f>Clean_Data!L25</f>
        <v>4.2622999999999998</v>
      </c>
      <c r="BE26" s="4">
        <f t="shared" si="19"/>
        <v>-1.6629971424556578E-3</v>
      </c>
      <c r="BF26" s="4">
        <f t="shared" si="27"/>
        <v>-4.8795293238700355E-3</v>
      </c>
      <c r="BG26" s="4">
        <f t="shared" si="8"/>
        <v>-5.8543639501795752E-3</v>
      </c>
      <c r="BH26" s="4">
        <f t="shared" ref="BH26:BH64" si="34">_xlfn.STDEV.S(BE7:BE26)*SQRT(252)</f>
        <v>4.284792655847184E-2</v>
      </c>
      <c r="BI26">
        <f t="shared" si="20"/>
        <v>4.2893999999999997</v>
      </c>
      <c r="BJ26" s="4">
        <f t="shared" si="21"/>
        <v>-6.317899939385474E-3</v>
      </c>
      <c r="BO26" s="1">
        <f>Clean_Data!G25</f>
        <v>46120</v>
      </c>
      <c r="BP26">
        <f>Clean_Data!M25</f>
        <v>555.24</v>
      </c>
      <c r="BQ26" s="4">
        <f t="shared" si="22"/>
        <v>-3.3923859781379573E-3</v>
      </c>
      <c r="BR26" s="4">
        <f t="shared" si="28"/>
        <v>4.8295132726654977E-2</v>
      </c>
      <c r="BS26" s="4">
        <f t="shared" si="9"/>
        <v>1.0740160920377217E-2</v>
      </c>
      <c r="BT26" s="4">
        <f t="shared" ref="BT26:BT64" si="35">_xlfn.STDEV.S(BQ7:BQ26)*SQRT(252)</f>
        <v>0.42375442859971579</v>
      </c>
      <c r="BU26">
        <f t="shared" si="23"/>
        <v>615.04999999999995</v>
      </c>
      <c r="BV26" s="4">
        <f t="shared" si="10"/>
        <v>-9.7244126493780891E-2</v>
      </c>
      <c r="BW26" s="4"/>
    </row>
    <row r="27" spans="6:75" x14ac:dyDescent="0.25">
      <c r="F27" s="1">
        <f>Clean_Data!G26</f>
        <v>46121</v>
      </c>
      <c r="G27" t="str">
        <f>Clean_Data!H26</f>
        <v>3552.48</v>
      </c>
      <c r="H27" s="4">
        <f t="shared" si="11"/>
        <v>5.2434244966681476E-3</v>
      </c>
      <c r="I27" s="4">
        <f t="shared" si="24"/>
        <v>6.3371617920419565E-2</v>
      </c>
      <c r="J27" s="4">
        <f t="shared" si="0"/>
        <v>4.3950489579537511E-2</v>
      </c>
      <c r="K27" s="4">
        <f t="shared" si="30"/>
        <v>0.2146005356625667</v>
      </c>
      <c r="L27" t="str">
        <f t="shared" si="12"/>
        <v>3552.48</v>
      </c>
      <c r="M27" s="4">
        <f t="shared" si="1"/>
        <v>0</v>
      </c>
      <c r="R27" s="1">
        <f>Clean_Data!G26</f>
        <v>46121</v>
      </c>
      <c r="S27" t="str">
        <f>Clean_Data!I26</f>
        <v>8895.59</v>
      </c>
      <c r="T27" s="4">
        <f t="shared" si="13"/>
        <v>-2.5900664783730099E-3</v>
      </c>
      <c r="U27" s="4">
        <f t="shared" si="25"/>
        <v>5.0566760595317062E-2</v>
      </c>
      <c r="V27" s="4">
        <f t="shared" si="2"/>
        <v>3.6692639562555307E-2</v>
      </c>
      <c r="W27" s="4">
        <f t="shared" si="31"/>
        <v>0.23576043742550948</v>
      </c>
      <c r="X27" t="str">
        <f t="shared" si="14"/>
        <v>8918.69</v>
      </c>
      <c r="Y27" s="4">
        <f t="shared" si="3"/>
        <v>-2.5900664783730099E-3</v>
      </c>
      <c r="AE27" s="1">
        <f>Clean_Data!G26</f>
        <v>46121</v>
      </c>
      <c r="AF27" t="str">
        <f>Clean_Data!J26</f>
        <v>30152.13</v>
      </c>
      <c r="AG27" s="4">
        <f t="shared" si="15"/>
        <v>-1.3843842123234529E-3</v>
      </c>
      <c r="AH27" s="4">
        <f t="shared" si="29"/>
        <v>1.8148781718243745E-2</v>
      </c>
      <c r="AI27" s="4">
        <f t="shared" si="4"/>
        <v>8.1300024708306218E-3</v>
      </c>
      <c r="AJ27" s="4">
        <f t="shared" si="32"/>
        <v>0.15163745606095672</v>
      </c>
      <c r="AK27" t="str">
        <f t="shared" si="16"/>
        <v>30686.76</v>
      </c>
      <c r="AL27" s="4">
        <f t="shared" si="5"/>
        <v>-1.7422171646664486E-2</v>
      </c>
      <c r="AQ27" s="1">
        <f>Clean_Data!G26</f>
        <v>46121</v>
      </c>
      <c r="AR27">
        <f>Clean_Data!K26</f>
        <v>3.6505999999999998</v>
      </c>
      <c r="AS27" s="4">
        <f t="shared" si="17"/>
        <v>4.6589383101758308E-4</v>
      </c>
      <c r="AT27" s="4">
        <f t="shared" si="26"/>
        <v>-2.4112489307100193E-2</v>
      </c>
      <c r="AU27" s="4">
        <f t="shared" si="6"/>
        <v>-1.2604132857297445E-2</v>
      </c>
      <c r="AV27" s="4">
        <f t="shared" si="33"/>
        <v>0.11609022500532228</v>
      </c>
      <c r="AW27">
        <f t="shared" si="18"/>
        <v>3.7408000000000001</v>
      </c>
      <c r="AX27" s="4">
        <f t="shared" si="7"/>
        <v>-2.4112489307100193E-2</v>
      </c>
      <c r="BC27" s="1">
        <f>Clean_Data!G26</f>
        <v>46121</v>
      </c>
      <c r="BD27">
        <f>Clean_Data!L26</f>
        <v>4.2610000000000001</v>
      </c>
      <c r="BE27" s="4">
        <f t="shared" si="19"/>
        <v>-3.0499964807728652E-4</v>
      </c>
      <c r="BF27" s="4">
        <f t="shared" si="27"/>
        <v>-6.620972630204558E-3</v>
      </c>
      <c r="BG27" s="4">
        <f t="shared" si="8"/>
        <v>-6.1575780193123819E-3</v>
      </c>
      <c r="BH27" s="4">
        <f t="shared" si="34"/>
        <v>3.5794738523015492E-2</v>
      </c>
      <c r="BI27">
        <f t="shared" si="20"/>
        <v>4.2893999999999997</v>
      </c>
      <c r="BJ27" s="4">
        <f t="shared" si="21"/>
        <v>-6.620972630204558E-3</v>
      </c>
      <c r="BO27" s="1">
        <f>Clean_Data!G26</f>
        <v>46121</v>
      </c>
      <c r="BP27">
        <f>Clean_Data!M26</f>
        <v>562.26</v>
      </c>
      <c r="BQ27" s="4">
        <f t="shared" si="22"/>
        <v>1.2643181326993602E-2</v>
      </c>
      <c r="BR27" s="4">
        <f t="shared" si="28"/>
        <v>3.4497985317657465E-2</v>
      </c>
      <c r="BS27" s="4">
        <f t="shared" si="9"/>
        <v>2.3519132049368174E-2</v>
      </c>
      <c r="BT27" s="4">
        <f t="shared" si="35"/>
        <v>0.4261630620868701</v>
      </c>
      <c r="BU27">
        <f t="shared" si="23"/>
        <v>615.04999999999995</v>
      </c>
      <c r="BV27" s="4">
        <f t="shared" si="10"/>
        <v>-8.583042029103316E-2</v>
      </c>
      <c r="BW27" s="4"/>
    </row>
    <row r="28" spans="6:75" x14ac:dyDescent="0.25">
      <c r="F28" s="1">
        <f>Clean_Data!G27</f>
        <v>46122</v>
      </c>
      <c r="G28" t="str">
        <f>Clean_Data!H27</f>
        <v>3596.84</v>
      </c>
      <c r="H28" s="4">
        <f t="shared" si="11"/>
        <v>1.2487051299373997E-2</v>
      </c>
      <c r="I28" s="4">
        <f t="shared" si="24"/>
        <v>5.6986352896923886E-2</v>
      </c>
      <c r="J28" s="4">
        <f t="shared" si="0"/>
        <v>5.6986352896923886E-2</v>
      </c>
      <c r="K28" s="4">
        <f t="shared" si="30"/>
        <v>0.21487805523917142</v>
      </c>
      <c r="L28" t="str">
        <f t="shared" si="12"/>
        <v>3596.84</v>
      </c>
      <c r="M28" s="4">
        <f t="shared" si="1"/>
        <v>0</v>
      </c>
      <c r="R28" s="1">
        <f>Clean_Data!G27</f>
        <v>46122</v>
      </c>
      <c r="S28" t="str">
        <f>Clean_Data!I27</f>
        <v>9036.06</v>
      </c>
      <c r="T28" s="4">
        <f t="shared" si="13"/>
        <v>1.5790970582052477E-2</v>
      </c>
      <c r="U28" s="4">
        <f t="shared" si="25"/>
        <v>5.3063022536517845E-2</v>
      </c>
      <c r="V28" s="4">
        <f t="shared" si="2"/>
        <v>5.3063022536517845E-2</v>
      </c>
      <c r="W28" s="4">
        <f t="shared" si="31"/>
        <v>0.23425766747130916</v>
      </c>
      <c r="X28" t="str">
        <f t="shared" si="14"/>
        <v>9036.06</v>
      </c>
      <c r="Y28" s="4">
        <f t="shared" si="3"/>
        <v>0</v>
      </c>
      <c r="AE28" s="1">
        <f>Clean_Data!G27</f>
        <v>46122</v>
      </c>
      <c r="AF28" t="str">
        <f>Clean_Data!J27</f>
        <v>30228.51</v>
      </c>
      <c r="AG28" s="4">
        <f t="shared" si="15"/>
        <v>2.5331543741684559E-3</v>
      </c>
      <c r="AH28" s="4">
        <f t="shared" si="29"/>
        <v>1.0683751396320051E-2</v>
      </c>
      <c r="AI28" s="4">
        <f t="shared" si="4"/>
        <v>1.0683751396320051E-2</v>
      </c>
      <c r="AJ28" s="4">
        <f t="shared" si="32"/>
        <v>0.15192744169783245</v>
      </c>
      <c r="AK28" t="str">
        <f t="shared" si="16"/>
        <v>30686.76</v>
      </c>
      <c r="AL28" s="4">
        <f t="shared" si="5"/>
        <v>-1.4933150322810174E-2</v>
      </c>
      <c r="AQ28" s="1">
        <f>Clean_Data!G27</f>
        <v>46122</v>
      </c>
      <c r="AR28">
        <f>Clean_Data!K27</f>
        <v>3.6396000000000002</v>
      </c>
      <c r="AS28" s="4">
        <f t="shared" si="17"/>
        <v>-3.0132033090449761E-3</v>
      </c>
      <c r="AT28" s="4">
        <f t="shared" si="26"/>
        <v>-1.5579357351509171E-2</v>
      </c>
      <c r="AU28" s="4">
        <f t="shared" si="6"/>
        <v>-1.5579357351509171E-2</v>
      </c>
      <c r="AV28" s="4">
        <f t="shared" si="33"/>
        <v>0.110891874005021</v>
      </c>
      <c r="AW28">
        <f t="shared" si="18"/>
        <v>3.7408000000000001</v>
      </c>
      <c r="AX28" s="4">
        <f t="shared" si="7"/>
        <v>-2.7053036783575735E-2</v>
      </c>
      <c r="BC28" s="1">
        <f>Clean_Data!G27</f>
        <v>46122</v>
      </c>
      <c r="BD28">
        <f>Clean_Data!L27</f>
        <v>4.2534000000000001</v>
      </c>
      <c r="BE28" s="4">
        <f t="shared" si="19"/>
        <v>-1.7836188688101773E-3</v>
      </c>
      <c r="BF28" s="4">
        <f t="shared" si="27"/>
        <v>-7.9302141157810979E-3</v>
      </c>
      <c r="BG28" s="4">
        <f t="shared" si="8"/>
        <v>-7.9302141157810979E-3</v>
      </c>
      <c r="BH28" s="4">
        <f t="shared" si="34"/>
        <v>3.2538648499006909E-2</v>
      </c>
      <c r="BI28">
        <f t="shared" si="20"/>
        <v>4.2893999999999997</v>
      </c>
      <c r="BJ28" s="4">
        <f t="shared" si="21"/>
        <v>-8.3927822073016634E-3</v>
      </c>
      <c r="BO28" s="1">
        <f>Clean_Data!G27</f>
        <v>46122</v>
      </c>
      <c r="BP28">
        <f>Clean_Data!M27</f>
        <v>554.6</v>
      </c>
      <c r="BQ28" s="4">
        <f t="shared" si="22"/>
        <v>-1.36235905097285E-2</v>
      </c>
      <c r="BR28" s="4">
        <f t="shared" si="28"/>
        <v>9.5751265154548904E-3</v>
      </c>
      <c r="BS28" s="4">
        <f t="shared" si="9"/>
        <v>9.5751265154548904E-3</v>
      </c>
      <c r="BT28" s="4">
        <f t="shared" si="35"/>
        <v>0.42737780636160283</v>
      </c>
      <c r="BU28">
        <f t="shared" si="23"/>
        <v>615.04999999999995</v>
      </c>
      <c r="BV28" s="4">
        <f t="shared" si="10"/>
        <v>-9.828469230143877E-2</v>
      </c>
      <c r="BW28" s="4"/>
    </row>
    <row r="29" spans="6:75" x14ac:dyDescent="0.25">
      <c r="F29" s="1">
        <f>Clean_Data!G28</f>
        <v>46125</v>
      </c>
      <c r="G29" t="str">
        <f>Clean_Data!H28</f>
        <v>3596.03</v>
      </c>
      <c r="H29" s="4">
        <f t="shared" si="11"/>
        <v>-2.251976735133665E-4</v>
      </c>
      <c r="I29" s="4">
        <f t="shared" si="24"/>
        <v>4.729078385974117E-2</v>
      </c>
      <c r="J29" s="4">
        <f t="shared" si="0"/>
        <v>5.6748322029316123E-2</v>
      </c>
      <c r="K29" s="4">
        <f t="shared" si="30"/>
        <v>0.21188277510000478</v>
      </c>
      <c r="L29" t="str">
        <f t="shared" si="12"/>
        <v>3596.84</v>
      </c>
      <c r="M29" s="4">
        <f t="shared" si="1"/>
        <v>-2.251976735133665E-4</v>
      </c>
      <c r="R29" s="1">
        <f>Clean_Data!G28</f>
        <v>46125</v>
      </c>
      <c r="S29" t="str">
        <f>Clean_Data!I28</f>
        <v>9031.26</v>
      </c>
      <c r="T29" s="4">
        <f t="shared" si="13"/>
        <v>-5.3120497207848061E-4</v>
      </c>
      <c r="U29" s="4">
        <f t="shared" si="25"/>
        <v>4.3786695021034605E-2</v>
      </c>
      <c r="V29" s="4">
        <f t="shared" si="2"/>
        <v>5.2503630223034392E-2</v>
      </c>
      <c r="W29" s="4">
        <f t="shared" si="31"/>
        <v>0.22630879447324845</v>
      </c>
      <c r="X29" t="str">
        <f t="shared" si="14"/>
        <v>9036.06</v>
      </c>
      <c r="Y29" s="4">
        <f t="shared" si="3"/>
        <v>-5.3120497207848061E-4</v>
      </c>
      <c r="AE29" s="1">
        <f>Clean_Data!G28</f>
        <v>46125</v>
      </c>
      <c r="AF29" t="str">
        <f>Clean_Data!J28</f>
        <v>30393.35</v>
      </c>
      <c r="AG29" s="4">
        <f t="shared" si="15"/>
        <v>5.453130174130294E-3</v>
      </c>
      <c r="AH29" s="4">
        <f t="shared" si="29"/>
        <v>1.7135454524766613E-2</v>
      </c>
      <c r="AI29" s="4">
        <f t="shared" si="4"/>
        <v>1.6195141457562734E-2</v>
      </c>
      <c r="AJ29" s="4">
        <f t="shared" si="32"/>
        <v>0.15046366025365493</v>
      </c>
      <c r="AK29" t="str">
        <f t="shared" si="16"/>
        <v>30686.76</v>
      </c>
      <c r="AL29" s="4">
        <f t="shared" si="5"/>
        <v>-9.5614525613000323E-3</v>
      </c>
      <c r="AQ29" s="1">
        <f>Clean_Data!G28</f>
        <v>46125</v>
      </c>
      <c r="AR29">
        <f>Clean_Data!K28</f>
        <v>3.6374</v>
      </c>
      <c r="AS29" s="4">
        <f t="shared" si="17"/>
        <v>-6.044620287943836E-4</v>
      </c>
      <c r="AT29" s="4">
        <f t="shared" si="26"/>
        <v>-2.2072859255276245E-2</v>
      </c>
      <c r="AU29" s="4">
        <f t="shared" si="6"/>
        <v>-1.6174402250351605E-2</v>
      </c>
      <c r="AV29" s="4">
        <f t="shared" si="33"/>
        <v>0.11084761985784057</v>
      </c>
      <c r="AW29">
        <f t="shared" si="18"/>
        <v>3.7408000000000001</v>
      </c>
      <c r="AX29" s="4">
        <f t="shared" si="7"/>
        <v>-2.7641146278870821E-2</v>
      </c>
      <c r="BC29" s="1">
        <f>Clean_Data!G28</f>
        <v>46125</v>
      </c>
      <c r="BD29">
        <f>Clean_Data!L28</f>
        <v>4.2507000000000001</v>
      </c>
      <c r="BE29" s="4">
        <f t="shared" si="19"/>
        <v>-6.3478628861612929E-4</v>
      </c>
      <c r="BF29" s="4">
        <f t="shared" si="27"/>
        <v>-8.4443304019221621E-3</v>
      </c>
      <c r="BG29" s="4">
        <f t="shared" si="8"/>
        <v>-8.5599664132107733E-3</v>
      </c>
      <c r="BH29" s="4">
        <f t="shared" si="34"/>
        <v>3.137777560219953E-2</v>
      </c>
      <c r="BI29">
        <f t="shared" si="20"/>
        <v>4.2893999999999997</v>
      </c>
      <c r="BJ29" s="4">
        <f t="shared" si="21"/>
        <v>-9.0222408728491965E-3</v>
      </c>
      <c r="BO29" s="1">
        <f>Clean_Data!G28</f>
        <v>46125</v>
      </c>
      <c r="BP29">
        <f>Clean_Data!M28</f>
        <v>554.64</v>
      </c>
      <c r="BQ29" s="4">
        <f t="shared" si="22"/>
        <v>7.2124053371647179E-5</v>
      </c>
      <c r="BR29" s="4">
        <f t="shared" si="28"/>
        <v>-1.304340089328615E-2</v>
      </c>
      <c r="BS29" s="4">
        <f t="shared" si="9"/>
        <v>9.647941165762397E-3</v>
      </c>
      <c r="BT29" s="4">
        <f t="shared" si="35"/>
        <v>0.42420382699946652</v>
      </c>
      <c r="BU29">
        <f t="shared" si="23"/>
        <v>615.04999999999995</v>
      </c>
      <c r="BV29" s="4">
        <f t="shared" si="10"/>
        <v>-9.8219656938460242E-2</v>
      </c>
      <c r="BW29" s="4"/>
    </row>
    <row r="30" spans="6:75" x14ac:dyDescent="0.25">
      <c r="F30" s="1">
        <f>Clean_Data!G29</f>
        <v>46126</v>
      </c>
      <c r="G30" t="str">
        <f>Clean_Data!H29</f>
        <v>3636.72</v>
      </c>
      <c r="H30" s="4">
        <f t="shared" si="11"/>
        <v>1.1315255990633988E-2</v>
      </c>
      <c r="I30" s="4">
        <f t="shared" si="24"/>
        <v>6.4364317490049006E-2</v>
      </c>
      <c r="J30" s="4">
        <f t="shared" si="0"/>
        <v>6.8705699810750698E-2</v>
      </c>
      <c r="K30" s="4">
        <f t="shared" si="30"/>
        <v>0.21001088242644486</v>
      </c>
      <c r="L30" t="str">
        <f t="shared" si="12"/>
        <v>3636.72</v>
      </c>
      <c r="M30" s="4">
        <f t="shared" si="1"/>
        <v>0</v>
      </c>
      <c r="R30" s="1">
        <f>Clean_Data!G29</f>
        <v>46126</v>
      </c>
      <c r="S30" t="str">
        <f>Clean_Data!I29</f>
        <v>9144.9</v>
      </c>
      <c r="T30" s="4">
        <f t="shared" si="13"/>
        <v>1.2582961845855278E-2</v>
      </c>
      <c r="U30" s="4">
        <f t="shared" si="25"/>
        <v>5.9381624827682167E-2</v>
      </c>
      <c r="V30" s="4">
        <f t="shared" si="2"/>
        <v>6.5747243244755005E-2</v>
      </c>
      <c r="W30" s="4">
        <f t="shared" si="31"/>
        <v>0.22788967236559141</v>
      </c>
      <c r="X30" t="str">
        <f t="shared" si="14"/>
        <v>9144.9</v>
      </c>
      <c r="Y30" s="4">
        <f t="shared" si="3"/>
        <v>0</v>
      </c>
      <c r="AE30" s="1">
        <f>Clean_Data!G29</f>
        <v>46126</v>
      </c>
      <c r="AF30" t="str">
        <f>Clean_Data!J29</f>
        <v>30612.86</v>
      </c>
      <c r="AG30" s="4">
        <f t="shared" si="15"/>
        <v>7.222303563114929E-3</v>
      </c>
      <c r="AH30" s="4">
        <f t="shared" si="29"/>
        <v>2.9031368910760635E-2</v>
      </c>
      <c r="AI30" s="4">
        <f t="shared" si="4"/>
        <v>2.3534411248531839E-2</v>
      </c>
      <c r="AJ30" s="4">
        <f t="shared" si="32"/>
        <v>0.15175744368412347</v>
      </c>
      <c r="AK30" t="str">
        <f t="shared" si="16"/>
        <v>30686.76</v>
      </c>
      <c r="AL30" s="4">
        <f t="shared" si="5"/>
        <v>-2.4082047110870475E-3</v>
      </c>
      <c r="AQ30" s="1">
        <f>Clean_Data!G29</f>
        <v>46126</v>
      </c>
      <c r="AR30">
        <f>Clean_Data!K29</f>
        <v>3.6015000000000001</v>
      </c>
      <c r="AS30" s="4">
        <f t="shared" si="17"/>
        <v>-9.8696871391652508E-3</v>
      </c>
      <c r="AT30" s="4">
        <f t="shared" si="26"/>
        <v>-2.3666232921275232E-2</v>
      </c>
      <c r="AU30" s="4">
        <f t="shared" si="6"/>
        <v>-2.5884453099642935E-2</v>
      </c>
      <c r="AV30" s="4">
        <f t="shared" si="33"/>
        <v>0.10666755348324546</v>
      </c>
      <c r="AW30">
        <f t="shared" si="18"/>
        <v>3.7408000000000001</v>
      </c>
      <c r="AX30" s="4">
        <f t="shared" si="7"/>
        <v>-3.7238023952095856E-2</v>
      </c>
      <c r="BC30" s="1">
        <f>Clean_Data!G29</f>
        <v>46126</v>
      </c>
      <c r="BD30">
        <f>Clean_Data!L29</f>
        <v>4.2435999999999998</v>
      </c>
      <c r="BE30" s="4">
        <f t="shared" si="19"/>
        <v>-1.6703131248971825E-3</v>
      </c>
      <c r="BF30" s="4">
        <f t="shared" si="27"/>
        <v>-6.0430037007542792E-3</v>
      </c>
      <c r="BG30" s="4">
        <f t="shared" si="8"/>
        <v>-1.0215981713859179E-2</v>
      </c>
      <c r="BH30" s="4">
        <f t="shared" si="34"/>
        <v>3.1194604985664721E-2</v>
      </c>
      <c r="BI30">
        <f t="shared" si="20"/>
        <v>4.2893999999999997</v>
      </c>
      <c r="BJ30" s="4">
        <f t="shared" si="21"/>
        <v>-1.0677484030400475E-2</v>
      </c>
      <c r="BO30" s="1">
        <f>Clean_Data!G29</f>
        <v>46126</v>
      </c>
      <c r="BP30">
        <f>Clean_Data!M29</f>
        <v>552.27</v>
      </c>
      <c r="BQ30" s="4">
        <f t="shared" si="22"/>
        <v>-4.2730419731717983E-3</v>
      </c>
      <c r="BR30" s="4">
        <f t="shared" si="28"/>
        <v>-8.7232782294975886E-3</v>
      </c>
      <c r="BS30" s="4">
        <f t="shared" si="9"/>
        <v>5.3336731350346334E-3</v>
      </c>
      <c r="BT30" s="4">
        <f t="shared" si="35"/>
        <v>0.42377947482976358</v>
      </c>
      <c r="BU30">
        <f t="shared" si="23"/>
        <v>615.04999999999995</v>
      </c>
      <c r="BV30" s="4">
        <f t="shared" si="10"/>
        <v>-0.10207300219494342</v>
      </c>
      <c r="BW30" s="4"/>
    </row>
    <row r="31" spans="6:75" x14ac:dyDescent="0.25">
      <c r="F31" s="1">
        <f>Clean_Data!G30</f>
        <v>46127</v>
      </c>
      <c r="G31" t="str">
        <f>Clean_Data!H30</f>
        <v>3665.94</v>
      </c>
      <c r="H31" s="4">
        <f t="shared" si="11"/>
        <v>8.034712598165461E-3</v>
      </c>
      <c r="I31" s="4">
        <f t="shared" si="24"/>
        <v>3.7349141895046678E-2</v>
      </c>
      <c r="J31" s="4">
        <f t="shared" si="0"/>
        <v>7.7292442960751329E-2</v>
      </c>
      <c r="K31" s="4">
        <f t="shared" si="30"/>
        <v>0.21022889605234343</v>
      </c>
      <c r="L31" t="str">
        <f t="shared" si="12"/>
        <v>3665.94</v>
      </c>
      <c r="M31" s="4">
        <f t="shared" si="1"/>
        <v>0</v>
      </c>
      <c r="R31" s="1">
        <f>Clean_Data!G30</f>
        <v>46127</v>
      </c>
      <c r="S31" t="str">
        <f>Clean_Data!I30</f>
        <v>9236.47</v>
      </c>
      <c r="T31" s="4">
        <f t="shared" si="13"/>
        <v>1.0013231418604773E-2</v>
      </c>
      <c r="U31" s="4">
        <f t="shared" si="25"/>
        <v>3.5630793311573594E-2</v>
      </c>
      <c r="V31" s="4">
        <f t="shared" si="2"/>
        <v>7.6418817025105001E-2</v>
      </c>
      <c r="W31" s="4">
        <f t="shared" si="31"/>
        <v>0.22799112857013279</v>
      </c>
      <c r="X31" t="str">
        <f t="shared" si="14"/>
        <v>9236.47</v>
      </c>
      <c r="Y31" s="4">
        <f t="shared" si="3"/>
        <v>0</v>
      </c>
      <c r="AE31" s="1">
        <f>Clean_Data!G30</f>
        <v>46127</v>
      </c>
      <c r="AF31" t="str">
        <f>Clean_Data!J30</f>
        <v>30832.47</v>
      </c>
      <c r="AG31" s="4">
        <f t="shared" si="15"/>
        <v>7.1737825214632789E-3</v>
      </c>
      <c r="AH31" s="4">
        <f t="shared" si="29"/>
        <v>2.1147959209019795E-2</v>
      </c>
      <c r="AI31" s="4">
        <f t="shared" si="4"/>
        <v>3.0877024518062735E-2</v>
      </c>
      <c r="AJ31" s="4">
        <f t="shared" si="32"/>
        <v>0.15346265905384951</v>
      </c>
      <c r="AK31" t="str">
        <f t="shared" si="16"/>
        <v>30832.47</v>
      </c>
      <c r="AL31" s="4">
        <f t="shared" si="5"/>
        <v>0</v>
      </c>
      <c r="AQ31" s="1">
        <f>Clean_Data!G30</f>
        <v>46127</v>
      </c>
      <c r="AR31">
        <f>Clean_Data!K30</f>
        <v>3.5939000000000001</v>
      </c>
      <c r="AS31" s="4">
        <f t="shared" si="17"/>
        <v>-2.1102318478412041E-3</v>
      </c>
      <c r="AT31" s="4">
        <f t="shared" si="26"/>
        <v>-1.507303570939178E-2</v>
      </c>
      <c r="AU31" s="4">
        <f t="shared" si="6"/>
        <v>-2.7940062750189343E-2</v>
      </c>
      <c r="AV31" s="4">
        <f t="shared" si="33"/>
        <v>0.10641956266983024</v>
      </c>
      <c r="AW31">
        <f t="shared" si="18"/>
        <v>3.7408000000000001</v>
      </c>
      <c r="AX31" s="4">
        <f t="shared" si="7"/>
        <v>-3.9269674935842658E-2</v>
      </c>
      <c r="BC31" s="1">
        <f>Clean_Data!G30</f>
        <v>46127</v>
      </c>
      <c r="BD31">
        <f>Clean_Data!L30</f>
        <v>4.2370000000000001</v>
      </c>
      <c r="BE31" s="4">
        <f t="shared" si="19"/>
        <v>-1.5552832500705938E-3</v>
      </c>
      <c r="BF31" s="4">
        <f t="shared" si="27"/>
        <v>-5.9357623818125926E-3</v>
      </c>
      <c r="BG31" s="4">
        <f t="shared" si="8"/>
        <v>-1.1755376218687275E-2</v>
      </c>
      <c r="BH31" s="4">
        <f t="shared" si="34"/>
        <v>3.1479545286580451E-2</v>
      </c>
      <c r="BI31">
        <f t="shared" si="20"/>
        <v>4.2893999999999997</v>
      </c>
      <c r="BJ31" s="4">
        <f t="shared" si="21"/>
        <v>-1.2216160768405704E-2</v>
      </c>
      <c r="BO31" s="1">
        <f>Clean_Data!G30</f>
        <v>46127</v>
      </c>
      <c r="BP31">
        <f>Clean_Data!M30</f>
        <v>554.13</v>
      </c>
      <c r="BQ31" s="4">
        <f t="shared" si="22"/>
        <v>3.3679178662611164E-3</v>
      </c>
      <c r="BR31" s="4">
        <f t="shared" si="28"/>
        <v>-1.9991355089691298E-3</v>
      </c>
      <c r="BS31" s="4">
        <f t="shared" si="9"/>
        <v>8.7195543743401327E-3</v>
      </c>
      <c r="BT31" s="4">
        <f t="shared" si="35"/>
        <v>0.42459414920792715</v>
      </c>
      <c r="BU31">
        <f t="shared" si="23"/>
        <v>615.04999999999995</v>
      </c>
      <c r="BV31" s="4">
        <f t="shared" si="10"/>
        <v>-9.9048857816437574E-2</v>
      </c>
      <c r="BW31" s="4"/>
    </row>
    <row r="32" spans="6:75" x14ac:dyDescent="0.25">
      <c r="F32" s="1">
        <f>Clean_Data!G31</f>
        <v>46128</v>
      </c>
      <c r="G32" t="str">
        <f>Clean_Data!H31</f>
        <v>3649.5</v>
      </c>
      <c r="H32" s="4">
        <f t="shared" si="11"/>
        <v>-4.4845251149773224E-3</v>
      </c>
      <c r="I32" s="4">
        <f t="shared" si="24"/>
        <v>2.731049858127288E-2</v>
      </c>
      <c r="J32" s="4">
        <f t="shared" si="0"/>
        <v>7.2461297944118597E-2</v>
      </c>
      <c r="K32" s="4">
        <f t="shared" si="30"/>
        <v>0.20518169276604209</v>
      </c>
      <c r="L32" t="str">
        <f t="shared" si="12"/>
        <v>3665.94</v>
      </c>
      <c r="M32" s="4">
        <f t="shared" si="1"/>
        <v>-4.4845251149773224E-3</v>
      </c>
      <c r="R32" s="1">
        <f>Clean_Data!G31</f>
        <v>46128</v>
      </c>
      <c r="S32" t="str">
        <f>Clean_Data!I31</f>
        <v>9178.15</v>
      </c>
      <c r="T32" s="4">
        <f t="shared" si="13"/>
        <v>-6.3141005167558495E-3</v>
      </c>
      <c r="U32" s="4">
        <f t="shared" si="25"/>
        <v>3.17640538738857E-2</v>
      </c>
      <c r="V32" s="4">
        <f t="shared" si="2"/>
        <v>6.9622200416281199E-2</v>
      </c>
      <c r="W32" s="4">
        <f t="shared" si="31"/>
        <v>0.20888371236864509</v>
      </c>
      <c r="X32" t="str">
        <f t="shared" si="14"/>
        <v>9236.47</v>
      </c>
      <c r="Y32" s="4">
        <f t="shared" si="3"/>
        <v>-6.3141005167558495E-3</v>
      </c>
      <c r="AE32" s="1">
        <f>Clean_Data!G31</f>
        <v>46128</v>
      </c>
      <c r="AF32" t="str">
        <f>Clean_Data!J31</f>
        <v>30759.44</v>
      </c>
      <c r="AG32" s="4">
        <f t="shared" si="15"/>
        <v>-2.3686068615327294E-3</v>
      </c>
      <c r="AH32" s="4">
        <f t="shared" si="29"/>
        <v>2.0141528973243172E-2</v>
      </c>
      <c r="AI32" s="4">
        <f t="shared" si="4"/>
        <v>2.8435282124392725E-2</v>
      </c>
      <c r="AJ32" s="4">
        <f t="shared" si="32"/>
        <v>0.15139452891193056</v>
      </c>
      <c r="AK32" t="str">
        <f t="shared" si="16"/>
        <v>30832.47</v>
      </c>
      <c r="AL32" s="4">
        <f t="shared" si="5"/>
        <v>-2.3686068615327294E-3</v>
      </c>
      <c r="AQ32" s="1">
        <f>Clean_Data!G31</f>
        <v>46128</v>
      </c>
      <c r="AR32">
        <f>Clean_Data!K31</f>
        <v>3.5983000000000001</v>
      </c>
      <c r="AS32" s="4">
        <f t="shared" si="17"/>
        <v>1.2242967250062353E-3</v>
      </c>
      <c r="AT32" s="4">
        <f t="shared" si="26"/>
        <v>-1.4326412096641539E-2</v>
      </c>
      <c r="AU32" s="4">
        <f t="shared" si="6"/>
        <v>-2.6749972952504586E-2</v>
      </c>
      <c r="AV32" s="4">
        <f t="shared" si="33"/>
        <v>0.1054631514354348</v>
      </c>
      <c r="AW32">
        <f t="shared" si="18"/>
        <v>3.7408000000000001</v>
      </c>
      <c r="AX32" s="4">
        <f t="shared" si="7"/>
        <v>-3.8093455945252375E-2</v>
      </c>
      <c r="BC32" s="1">
        <f>Clean_Data!G31</f>
        <v>46128</v>
      </c>
      <c r="BD32">
        <f>Clean_Data!L31</f>
        <v>4.2411000000000003</v>
      </c>
      <c r="BE32" s="4">
        <f t="shared" si="19"/>
        <v>9.6766580127449764E-4</v>
      </c>
      <c r="BF32" s="4">
        <f t="shared" si="27"/>
        <v>-4.6702651959633634E-3</v>
      </c>
      <c r="BG32" s="4">
        <f t="shared" si="8"/>
        <v>-1.0799085692960619E-2</v>
      </c>
      <c r="BH32" s="4">
        <f t="shared" si="34"/>
        <v>3.1815848521585255E-2</v>
      </c>
      <c r="BI32">
        <f t="shared" si="20"/>
        <v>4.2893999999999997</v>
      </c>
      <c r="BJ32" s="4">
        <f t="shared" si="21"/>
        <v>-1.126031612812961E-2</v>
      </c>
      <c r="BO32" s="1">
        <f>Clean_Data!G31</f>
        <v>46128</v>
      </c>
      <c r="BP32">
        <f>Clean_Data!M31</f>
        <v>556.66</v>
      </c>
      <c r="BQ32" s="4">
        <f t="shared" si="22"/>
        <v>4.56571562629704E-3</v>
      </c>
      <c r="BR32" s="4">
        <f t="shared" si="28"/>
        <v>-9.9598050723864739E-3</v>
      </c>
      <c r="BS32" s="4">
        <f t="shared" si="9"/>
        <v>1.3325081006298367E-2</v>
      </c>
      <c r="BT32" s="4">
        <f t="shared" si="35"/>
        <v>0.42032765041385584</v>
      </c>
      <c r="BU32">
        <f t="shared" si="23"/>
        <v>615.04999999999995</v>
      </c>
      <c r="BV32" s="4">
        <f t="shared" si="10"/>
        <v>-9.4935371108039956E-2</v>
      </c>
      <c r="BW32" s="4"/>
    </row>
    <row r="33" spans="6:75" x14ac:dyDescent="0.25">
      <c r="F33" s="1">
        <f>Clean_Data!G32</f>
        <v>46129</v>
      </c>
      <c r="G33" t="str">
        <f>Clean_Data!H32</f>
        <v>3700.6</v>
      </c>
      <c r="H33" s="4">
        <f t="shared" si="11"/>
        <v>1.4001918070968511E-2</v>
      </c>
      <c r="I33" s="4">
        <f t="shared" si="24"/>
        <v>2.8847543955249577E-2</v>
      </c>
      <c r="J33" s="4">
        <f t="shared" si="0"/>
        <v>8.7477813172216701E-2</v>
      </c>
      <c r="K33" s="4">
        <f t="shared" si="30"/>
        <v>0.20389429945009024</v>
      </c>
      <c r="L33" t="str">
        <f t="shared" si="12"/>
        <v>3700.6</v>
      </c>
      <c r="M33" s="4">
        <f t="shared" si="1"/>
        <v>0</v>
      </c>
      <c r="R33" s="1">
        <f>Clean_Data!G32</f>
        <v>46129</v>
      </c>
      <c r="S33" t="str">
        <f>Clean_Data!I32</f>
        <v>9307</v>
      </c>
      <c r="T33" s="4">
        <f t="shared" si="13"/>
        <v>1.4038776877693282E-2</v>
      </c>
      <c r="U33" s="4">
        <f t="shared" si="25"/>
        <v>2.9984307319783188E-2</v>
      </c>
      <c r="V33" s="4">
        <f t="shared" si="2"/>
        <v>8.4638387831352579E-2</v>
      </c>
      <c r="W33" s="4">
        <f t="shared" si="31"/>
        <v>0.20615836906774135</v>
      </c>
      <c r="X33" t="str">
        <f t="shared" si="14"/>
        <v>9307</v>
      </c>
      <c r="Y33" s="4">
        <f t="shared" si="3"/>
        <v>0</v>
      </c>
      <c r="AE33" s="1">
        <f>Clean_Data!G32</f>
        <v>46129</v>
      </c>
      <c r="AF33" t="str">
        <f>Clean_Data!J32</f>
        <v>31184.95</v>
      </c>
      <c r="AG33" s="4">
        <f t="shared" si="15"/>
        <v>1.3833476812321832E-2</v>
      </c>
      <c r="AH33" s="4">
        <f t="shared" si="29"/>
        <v>3.1640328947738494E-2</v>
      </c>
      <c r="AI33" s="4">
        <f t="shared" si="4"/>
        <v>4.2662117752634066E-2</v>
      </c>
      <c r="AJ33" s="4">
        <f t="shared" si="32"/>
        <v>0.15666249516279779</v>
      </c>
      <c r="AK33" t="str">
        <f t="shared" si="16"/>
        <v>31184.95</v>
      </c>
      <c r="AL33" s="4">
        <f t="shared" si="5"/>
        <v>0</v>
      </c>
      <c r="AQ33" s="1">
        <f>Clean_Data!G32</f>
        <v>46129</v>
      </c>
      <c r="AR33">
        <f>Clean_Data!K32</f>
        <v>3.5912000000000002</v>
      </c>
      <c r="AS33" s="4">
        <f t="shared" si="17"/>
        <v>-1.9731539893838024E-3</v>
      </c>
      <c r="AT33" s="4">
        <f t="shared" si="26"/>
        <v>-1.3298164633476217E-2</v>
      </c>
      <c r="AU33" s="4">
        <f t="shared" si="6"/>
        <v>-2.8670345126041274E-2</v>
      </c>
      <c r="AV33" s="4">
        <f t="shared" si="33"/>
        <v>0.10529588964525896</v>
      </c>
      <c r="AW33">
        <f t="shared" si="18"/>
        <v>3.7408000000000001</v>
      </c>
      <c r="AX33" s="4">
        <f t="shared" si="7"/>
        <v>-3.9991445680068405E-2</v>
      </c>
      <c r="BC33" s="1">
        <f>Clean_Data!G32</f>
        <v>46129</v>
      </c>
      <c r="BD33">
        <f>Clean_Data!L32</f>
        <v>4.2355</v>
      </c>
      <c r="BE33" s="4">
        <f t="shared" si="19"/>
        <v>-1.3204121572234495E-3</v>
      </c>
      <c r="BF33" s="4">
        <f t="shared" si="27"/>
        <v>-4.208397987492396E-3</v>
      </c>
      <c r="BG33" s="4">
        <f t="shared" si="8"/>
        <v>-1.2105238606148205E-2</v>
      </c>
      <c r="BH33" s="4">
        <f t="shared" si="34"/>
        <v>3.184783346935955E-2</v>
      </c>
      <c r="BI33">
        <f t="shared" si="20"/>
        <v>4.2893999999999997</v>
      </c>
      <c r="BJ33" s="4">
        <f t="shared" si="21"/>
        <v>-1.2565860027043296E-2</v>
      </c>
      <c r="BO33" s="1">
        <f>Clean_Data!G32</f>
        <v>46129</v>
      </c>
      <c r="BP33">
        <f>Clean_Data!M32</f>
        <v>556.79999999999995</v>
      </c>
      <c r="BQ33" s="4">
        <f t="shared" si="22"/>
        <v>2.5150001796436783E-4</v>
      </c>
      <c r="BR33" s="4">
        <f t="shared" si="28"/>
        <v>3.9668229354488105E-3</v>
      </c>
      <c r="BS33" s="4">
        <f t="shared" si="9"/>
        <v>1.3579932282375085E-2</v>
      </c>
      <c r="BT33" s="4">
        <f t="shared" si="35"/>
        <v>0.42029428063044871</v>
      </c>
      <c r="BU33">
        <f t="shared" si="23"/>
        <v>615.04999999999995</v>
      </c>
      <c r="BV33" s="4">
        <f t="shared" si="10"/>
        <v>-9.4707747337614889E-2</v>
      </c>
      <c r="BW33" s="4"/>
    </row>
    <row r="34" spans="6:75" x14ac:dyDescent="0.25">
      <c r="F34" s="1">
        <f>Clean_Data!G33</f>
        <v>46132</v>
      </c>
      <c r="G34" t="str">
        <f>Clean_Data!H33</f>
        <v>3666.86</v>
      </c>
      <c r="H34" s="4">
        <f t="shared" si="11"/>
        <v>-9.1174404150677901E-3</v>
      </c>
      <c r="I34" s="4">
        <f t="shared" si="24"/>
        <v>1.9696721106331028E-2</v>
      </c>
      <c r="J34" s="4">
        <f t="shared" si="0"/>
        <v>7.7562799007910854E-2</v>
      </c>
      <c r="K34" s="4">
        <f t="shared" si="30"/>
        <v>0.19182508551599975</v>
      </c>
      <c r="L34" t="str">
        <f t="shared" si="12"/>
        <v>3700.6</v>
      </c>
      <c r="M34" s="4">
        <f t="shared" si="1"/>
        <v>-9.1174404150677901E-3</v>
      </c>
      <c r="R34" s="1">
        <f>Clean_Data!G33</f>
        <v>46132</v>
      </c>
      <c r="S34" t="str">
        <f>Clean_Data!I33</f>
        <v>9240.29</v>
      </c>
      <c r="T34" s="4">
        <f t="shared" si="13"/>
        <v>-7.1677232190823226E-3</v>
      </c>
      <c r="U34" s="4">
        <f t="shared" si="25"/>
        <v>2.3145164683554764E-2</v>
      </c>
      <c r="V34" s="4">
        <f t="shared" si="2"/>
        <v>7.6864000074585714E-2</v>
      </c>
      <c r="W34" s="4">
        <f t="shared" si="31"/>
        <v>0.19952435621778827</v>
      </c>
      <c r="X34" t="str">
        <f t="shared" si="14"/>
        <v>9307</v>
      </c>
      <c r="Y34" s="4">
        <f t="shared" si="3"/>
        <v>-7.1677232190823226E-3</v>
      </c>
      <c r="AE34" s="1">
        <f>Clean_Data!G33</f>
        <v>46132</v>
      </c>
      <c r="AF34" t="str">
        <f>Clean_Data!J33</f>
        <v>31202.83</v>
      </c>
      <c r="AG34" s="4">
        <f t="shared" si="15"/>
        <v>5.7335349263021307E-4</v>
      </c>
      <c r="AH34" s="4">
        <f t="shared" si="29"/>
        <v>2.6633457647808001E-2</v>
      </c>
      <c r="AI34" s="4">
        <f t="shared" si="4"/>
        <v>4.3259931719480837E-2</v>
      </c>
      <c r="AJ34" s="4">
        <f t="shared" si="32"/>
        <v>0.14284916690972035</v>
      </c>
      <c r="AK34" t="str">
        <f t="shared" si="16"/>
        <v>31202.83</v>
      </c>
      <c r="AL34" s="4">
        <f t="shared" si="5"/>
        <v>0</v>
      </c>
      <c r="AQ34" s="1">
        <f>Clean_Data!G33</f>
        <v>46132</v>
      </c>
      <c r="AR34">
        <f>Clean_Data!K33</f>
        <v>3.6004999999999998</v>
      </c>
      <c r="AS34" s="4">
        <f t="shared" si="17"/>
        <v>2.589663622187377E-3</v>
      </c>
      <c r="AT34" s="4">
        <f t="shared" si="26"/>
        <v>-1.0144608786495923E-2</v>
      </c>
      <c r="AU34" s="4">
        <f t="shared" si="6"/>
        <v>-2.6154928053662263E-2</v>
      </c>
      <c r="AV34" s="4">
        <f t="shared" si="33"/>
        <v>9.8901262376820565E-2</v>
      </c>
      <c r="AW34">
        <f t="shared" si="18"/>
        <v>3.7408000000000001</v>
      </c>
      <c r="AX34" s="4">
        <f t="shared" si="7"/>
        <v>-3.7505346449957289E-2</v>
      </c>
      <c r="BC34" s="1">
        <f>Clean_Data!G33</f>
        <v>46132</v>
      </c>
      <c r="BD34">
        <f>Clean_Data!L33</f>
        <v>4.2346000000000004</v>
      </c>
      <c r="BE34" s="4">
        <f t="shared" si="19"/>
        <v>-2.1248967064091406E-4</v>
      </c>
      <c r="BF34" s="4">
        <f t="shared" si="27"/>
        <v>-3.7876114522313875E-3</v>
      </c>
      <c r="BG34" s="4">
        <f t="shared" si="8"/>
        <v>-1.2315156038624653E-2</v>
      </c>
      <c r="BH34" s="4">
        <f t="shared" si="34"/>
        <v>2.7590873348241299E-2</v>
      </c>
      <c r="BI34">
        <f t="shared" si="20"/>
        <v>4.2893999999999997</v>
      </c>
      <c r="BJ34" s="4">
        <f t="shared" si="21"/>
        <v>-1.2775679582225807E-2</v>
      </c>
      <c r="BO34" s="1">
        <f>Clean_Data!G33</f>
        <v>46132</v>
      </c>
      <c r="BP34">
        <f>Clean_Data!M33</f>
        <v>553.66</v>
      </c>
      <c r="BQ34" s="4">
        <f t="shared" si="22"/>
        <v>-5.639367816091978E-3</v>
      </c>
      <c r="BR34" s="4">
        <f t="shared" si="28"/>
        <v>-1.7669118707630549E-3</v>
      </c>
      <c r="BS34" s="4">
        <f t="shared" si="9"/>
        <v>7.863982233225153E-3</v>
      </c>
      <c r="BT34" s="4">
        <f t="shared" si="35"/>
        <v>0.4201826523408112</v>
      </c>
      <c r="BU34">
        <f t="shared" si="23"/>
        <v>615.04999999999995</v>
      </c>
      <c r="BV34" s="4">
        <f t="shared" si="10"/>
        <v>-9.981302333143649E-2</v>
      </c>
      <c r="BW34" s="4"/>
    </row>
    <row r="35" spans="6:75" x14ac:dyDescent="0.25">
      <c r="F35" s="1">
        <f>Clean_Data!G34</f>
        <v>46133</v>
      </c>
      <c r="G35" t="str">
        <f>Clean_Data!H34</f>
        <v>3640</v>
      </c>
      <c r="H35" s="4">
        <f t="shared" si="11"/>
        <v>-7.3250683145797968E-3</v>
      </c>
      <c r="I35" s="4">
        <f t="shared" si="24"/>
        <v>9.0191161266206521E-4</v>
      </c>
      <c r="J35" s="4">
        <f t="shared" si="0"/>
        <v>6.9669577891928069E-2</v>
      </c>
      <c r="K35" s="4">
        <f t="shared" si="30"/>
        <v>0.19052991266035946</v>
      </c>
      <c r="L35" t="str">
        <f t="shared" si="12"/>
        <v>3700.6</v>
      </c>
      <c r="M35" s="4">
        <f t="shared" si="1"/>
        <v>-1.6375722855753061E-2</v>
      </c>
      <c r="R35" s="1">
        <f>Clean_Data!G34</f>
        <v>46133</v>
      </c>
      <c r="S35" t="str">
        <f>Clean_Data!I34</f>
        <v>9127.87</v>
      </c>
      <c r="T35" s="4">
        <f t="shared" si="13"/>
        <v>-1.216628482439408E-2</v>
      </c>
      <c r="U35" s="4">
        <f t="shared" si="25"/>
        <v>-1.8622401557151225E-3</v>
      </c>
      <c r="V35" s="4">
        <f t="shared" si="2"/>
        <v>6.3762565932542037E-2</v>
      </c>
      <c r="W35" s="4">
        <f t="shared" si="31"/>
        <v>0.18752528685261213</v>
      </c>
      <c r="X35" t="str">
        <f t="shared" si="14"/>
        <v>9307</v>
      </c>
      <c r="Y35" s="4">
        <f t="shared" si="3"/>
        <v>-1.9246803481250629E-2</v>
      </c>
      <c r="AE35" s="1">
        <f>Clean_Data!G34</f>
        <v>46133</v>
      </c>
      <c r="AF35" t="str">
        <f>Clean_Data!J34</f>
        <v>31295.94</v>
      </c>
      <c r="AG35" s="4">
        <f t="shared" si="15"/>
        <v>2.9840242054965938E-3</v>
      </c>
      <c r="AH35" s="4">
        <f t="shared" si="29"/>
        <v>2.2313498314107116E-2</v>
      </c>
      <c r="AI35" s="4">
        <f t="shared" si="4"/>
        <v>4.6373044608356562E-2</v>
      </c>
      <c r="AJ35" s="4">
        <f t="shared" si="32"/>
        <v>0.1390261213632985</v>
      </c>
      <c r="AK35" t="str">
        <f t="shared" si="16"/>
        <v>31295.94</v>
      </c>
      <c r="AL35" s="4">
        <f t="shared" si="5"/>
        <v>0</v>
      </c>
      <c r="AQ35" s="1">
        <f>Clean_Data!G34</f>
        <v>46133</v>
      </c>
      <c r="AR35">
        <f>Clean_Data!K34</f>
        <v>3.597</v>
      </c>
      <c r="AS35" s="4">
        <f t="shared" si="17"/>
        <v>-9.7208721010966226E-4</v>
      </c>
      <c r="AT35" s="4">
        <f t="shared" si="26"/>
        <v>-1.2494793835902129E-3</v>
      </c>
      <c r="AU35" s="4">
        <f t="shared" si="6"/>
        <v>-2.7101590392729635E-2</v>
      </c>
      <c r="AV35" s="4">
        <f t="shared" si="33"/>
        <v>9.7358994549106126E-2</v>
      </c>
      <c r="AW35">
        <f t="shared" si="18"/>
        <v>3.7408000000000001</v>
      </c>
      <c r="AX35" s="4">
        <f t="shared" si="7"/>
        <v>-3.8440975192472249E-2</v>
      </c>
      <c r="BC35" s="1">
        <f>Clean_Data!G34</f>
        <v>46133</v>
      </c>
      <c r="BD35">
        <f>Clean_Data!L34</f>
        <v>4.2320000000000002</v>
      </c>
      <c r="BE35" s="4">
        <f t="shared" si="19"/>
        <v>-6.1398951494828768E-4</v>
      </c>
      <c r="BF35" s="4">
        <f t="shared" si="27"/>
        <v>-2.7335281364877506E-3</v>
      </c>
      <c r="BG35" s="4">
        <f t="shared" si="8"/>
        <v>-1.2921584176890377E-2</v>
      </c>
      <c r="BH35" s="4">
        <f t="shared" si="34"/>
        <v>2.7584371681163223E-2</v>
      </c>
      <c r="BI35">
        <f t="shared" si="20"/>
        <v>4.2893999999999997</v>
      </c>
      <c r="BJ35" s="4">
        <f t="shared" si="21"/>
        <v>-1.3381824963864308E-2</v>
      </c>
      <c r="BO35" s="1">
        <f>Clean_Data!G34</f>
        <v>46133</v>
      </c>
      <c r="BP35">
        <f>Clean_Data!M34</f>
        <v>555.09</v>
      </c>
      <c r="BQ35" s="4">
        <f t="shared" si="22"/>
        <v>2.5828125564426596E-3</v>
      </c>
      <c r="BR35" s="4">
        <f t="shared" si="28"/>
        <v>5.1061980552991049E-3</v>
      </c>
      <c r="BS35" s="4">
        <f t="shared" si="9"/>
        <v>1.0467105981723623E-2</v>
      </c>
      <c r="BT35" s="4">
        <f t="shared" si="35"/>
        <v>0.38180581057446716</v>
      </c>
      <c r="BU35">
        <f t="shared" si="23"/>
        <v>615.04999999999995</v>
      </c>
      <c r="BV35" s="4">
        <f t="shared" si="10"/>
        <v>-9.7488009104950701E-2</v>
      </c>
      <c r="BW35" s="4"/>
    </row>
    <row r="36" spans="6:75" x14ac:dyDescent="0.25">
      <c r="F36" s="1">
        <f>Clean_Data!G35</f>
        <v>46134</v>
      </c>
      <c r="G36" t="str">
        <f>Clean_Data!H35</f>
        <v>3615.77</v>
      </c>
      <c r="H36" s="4">
        <f t="shared" si="11"/>
        <v>-6.656593406593414E-3</v>
      </c>
      <c r="I36" s="4">
        <f t="shared" si="24"/>
        <v>-1.3685439478005712E-2</v>
      </c>
      <c r="J36" s="4">
        <f t="shared" si="0"/>
        <v>6.2549222432499052E-2</v>
      </c>
      <c r="K36" s="4">
        <f t="shared" si="30"/>
        <v>0.19555513478742156</v>
      </c>
      <c r="L36" t="str">
        <f t="shared" si="12"/>
        <v>3700.6</v>
      </c>
      <c r="M36" s="4">
        <f t="shared" si="1"/>
        <v>-2.2923309733556718E-2</v>
      </c>
      <c r="R36" s="1">
        <f>Clean_Data!G35</f>
        <v>46134</v>
      </c>
      <c r="S36" t="str">
        <f>Clean_Data!I35</f>
        <v>9134.16</v>
      </c>
      <c r="T36" s="4">
        <f t="shared" si="13"/>
        <v>6.8909833290775602E-4</v>
      </c>
      <c r="U36" s="4">
        <f t="shared" si="25"/>
        <v>-1.107674252176416E-2</v>
      </c>
      <c r="V36" s="4">
        <f t="shared" si="2"/>
        <v>6.4495602943335895E-2</v>
      </c>
      <c r="W36" s="4">
        <f t="shared" si="31"/>
        <v>0.18814527325523445</v>
      </c>
      <c r="X36" t="str">
        <f t="shared" si="14"/>
        <v>9307</v>
      </c>
      <c r="Y36" s="4">
        <f t="shared" si="3"/>
        <v>-1.8570968088535533E-2</v>
      </c>
      <c r="AE36" s="1">
        <f>Clean_Data!G35</f>
        <v>46134</v>
      </c>
      <c r="AF36" t="str">
        <f>Clean_Data!J35</f>
        <v>31292.14</v>
      </c>
      <c r="AG36" s="4">
        <f t="shared" si="15"/>
        <v>-1.2142150068028545E-4</v>
      </c>
      <c r="AH36" s="4">
        <f t="shared" si="29"/>
        <v>1.4908633657958692E-2</v>
      </c>
      <c r="AI36" s="4">
        <f t="shared" si="4"/>
        <v>4.6245992423008753E-2</v>
      </c>
      <c r="AJ36" s="4">
        <f t="shared" si="32"/>
        <v>0.12617906159226044</v>
      </c>
      <c r="AK36" t="str">
        <f t="shared" si="16"/>
        <v>31295.94</v>
      </c>
      <c r="AL36" s="4">
        <f t="shared" si="5"/>
        <v>-1.2142150068028545E-4</v>
      </c>
      <c r="AQ36" s="1">
        <f>Clean_Data!G35</f>
        <v>46134</v>
      </c>
      <c r="AR36">
        <f>Clean_Data!K35</f>
        <v>3.6080000000000001</v>
      </c>
      <c r="AS36" s="4">
        <f t="shared" si="17"/>
        <v>3.0581039755352979E-3</v>
      </c>
      <c r="AT36" s="4">
        <f t="shared" si="26"/>
        <v>3.9233145051336127E-3</v>
      </c>
      <c r="AU36" s="4">
        <f t="shared" si="6"/>
        <v>-2.4126365898517799E-2</v>
      </c>
      <c r="AV36" s="4">
        <f t="shared" si="33"/>
        <v>9.3742551884602579E-2</v>
      </c>
      <c r="AW36">
        <f t="shared" si="18"/>
        <v>3.7408000000000001</v>
      </c>
      <c r="AX36" s="4">
        <f t="shared" si="7"/>
        <v>-3.5500427715996596E-2</v>
      </c>
      <c r="BC36" s="1">
        <f>Clean_Data!G35</f>
        <v>46134</v>
      </c>
      <c r="BD36">
        <f>Clean_Data!L35</f>
        <v>4.2408000000000001</v>
      </c>
      <c r="BE36" s="4">
        <f t="shared" si="19"/>
        <v>2.0793950850661602E-3</v>
      </c>
      <c r="BF36" s="4">
        <f t="shared" si="27"/>
        <v>8.9686098654717661E-4</v>
      </c>
      <c r="BG36" s="4">
        <f t="shared" si="8"/>
        <v>-1.0869058170452917E-2</v>
      </c>
      <c r="BH36" s="4">
        <f t="shared" si="34"/>
        <v>2.7273835402332965E-2</v>
      </c>
      <c r="BI36">
        <f t="shared" si="20"/>
        <v>4.2893999999999997</v>
      </c>
      <c r="BJ36" s="4">
        <f t="shared" si="21"/>
        <v>-1.1330255979857262E-2</v>
      </c>
      <c r="BO36" s="1">
        <f>Clean_Data!G35</f>
        <v>46134</v>
      </c>
      <c r="BP36">
        <f>Clean_Data!M35</f>
        <v>553.4</v>
      </c>
      <c r="BQ36" s="4">
        <f t="shared" si="22"/>
        <v>-3.0445513340180419E-3</v>
      </c>
      <c r="BR36" s="4">
        <f t="shared" si="28"/>
        <v>-1.3173803981015864E-3</v>
      </c>
      <c r="BS36" s="4">
        <f t="shared" si="9"/>
        <v>7.3906870062254715E-3</v>
      </c>
      <c r="BT36" s="4">
        <f t="shared" si="35"/>
        <v>0.37906214614817646</v>
      </c>
      <c r="BU36">
        <f t="shared" si="23"/>
        <v>615.04999999999995</v>
      </c>
      <c r="BV36" s="4">
        <f t="shared" si="10"/>
        <v>-0.10023575319079747</v>
      </c>
      <c r="BW36" s="4"/>
    </row>
    <row r="37" spans="6:75" x14ac:dyDescent="0.25">
      <c r="F37" s="1">
        <f>Clean_Data!G36</f>
        <v>46135</v>
      </c>
      <c r="G37" t="str">
        <f>Clean_Data!H36</f>
        <v>3578.84</v>
      </c>
      <c r="H37" s="4">
        <f t="shared" si="11"/>
        <v>-1.0213592125605242E-2</v>
      </c>
      <c r="I37" s="4">
        <f t="shared" si="24"/>
        <v>-1.9361556377585964E-2</v>
      </c>
      <c r="J37" s="4">
        <f t="shared" si="0"/>
        <v>5.1696778061194548E-2</v>
      </c>
      <c r="K37" s="4">
        <f t="shared" si="30"/>
        <v>0.19751639149012787</v>
      </c>
      <c r="L37" t="str">
        <f t="shared" si="12"/>
        <v>3700.6</v>
      </c>
      <c r="M37" s="4">
        <f t="shared" si="1"/>
        <v>-3.2902772523374479E-2</v>
      </c>
      <c r="R37" s="1">
        <f>Clean_Data!G36</f>
        <v>46135</v>
      </c>
      <c r="S37" t="str">
        <f>Clean_Data!I36</f>
        <v>9033.5</v>
      </c>
      <c r="T37" s="4">
        <f t="shared" si="13"/>
        <v>-1.1020170437128329E-2</v>
      </c>
      <c r="U37" s="4">
        <f t="shared" si="25"/>
        <v>-1.5760256696610964E-2</v>
      </c>
      <c r="V37" s="4">
        <f t="shared" si="2"/>
        <v>5.2764679969326655E-2</v>
      </c>
      <c r="W37" s="4">
        <f t="shared" si="31"/>
        <v>0.18648638831722328</v>
      </c>
      <c r="X37" t="str">
        <f t="shared" si="14"/>
        <v>9307</v>
      </c>
      <c r="Y37" s="4">
        <f t="shared" si="3"/>
        <v>-2.938648329214566E-2</v>
      </c>
      <c r="AE37" s="1">
        <f>Clean_Data!G36</f>
        <v>46135</v>
      </c>
      <c r="AF37" t="str">
        <f>Clean_Data!J36</f>
        <v>31222.28</v>
      </c>
      <c r="AG37" s="4">
        <f t="shared" si="15"/>
        <v>-2.2325095055819588E-3</v>
      </c>
      <c r="AH37" s="4">
        <f t="shared" si="29"/>
        <v>1.5047087983396379E-2</v>
      </c>
      <c r="AI37" s="4">
        <f t="shared" si="4"/>
        <v>4.3910238299747384E-2</v>
      </c>
      <c r="AJ37" s="4">
        <f t="shared" si="32"/>
        <v>0.12521190062383294</v>
      </c>
      <c r="AK37" t="str">
        <f t="shared" si="16"/>
        <v>31295.94</v>
      </c>
      <c r="AL37" s="4">
        <f t="shared" si="5"/>
        <v>-2.3536599316077433E-3</v>
      </c>
      <c r="AQ37" s="1">
        <f>Clean_Data!G36</f>
        <v>46135</v>
      </c>
      <c r="AR37">
        <f>Clean_Data!K36</f>
        <v>3.6320999999999999</v>
      </c>
      <c r="AS37" s="4">
        <f t="shared" si="17"/>
        <v>6.6796008869178802E-3</v>
      </c>
      <c r="AT37" s="4">
        <f t="shared" si="26"/>
        <v>9.3933246255175629E-3</v>
      </c>
      <c r="AU37" s="4">
        <f t="shared" si="6"/>
        <v>-1.7607919506653746E-2</v>
      </c>
      <c r="AV37" s="4">
        <f t="shared" si="33"/>
        <v>8.9954069299494233E-2</v>
      </c>
      <c r="AW37">
        <f t="shared" si="18"/>
        <v>3.7408000000000001</v>
      </c>
      <c r="AX37" s="4">
        <f t="shared" si="7"/>
        <v>-2.9057955517536427E-2</v>
      </c>
      <c r="BC37" s="1">
        <f>Clean_Data!G36</f>
        <v>46135</v>
      </c>
      <c r="BD37">
        <f>Clean_Data!L36</f>
        <v>4.2500999999999998</v>
      </c>
      <c r="BE37" s="4">
        <f t="shared" si="19"/>
        <v>2.1929824561401912E-3</v>
      </c>
      <c r="BF37" s="4">
        <f t="shared" si="27"/>
        <v>2.1220909669659171E-3</v>
      </c>
      <c r="BG37" s="4">
        <f t="shared" si="8"/>
        <v>-8.6999113681952567E-3</v>
      </c>
      <c r="BH37" s="4">
        <f t="shared" si="34"/>
        <v>2.6944139111682232E-2</v>
      </c>
      <c r="BI37">
        <f t="shared" si="20"/>
        <v>4.2893999999999997</v>
      </c>
      <c r="BJ37" s="4">
        <f t="shared" si="21"/>
        <v>-9.1621205763043889E-3</v>
      </c>
      <c r="BO37" s="1">
        <f>Clean_Data!G36</f>
        <v>46135</v>
      </c>
      <c r="BP37">
        <f>Clean_Data!M36</f>
        <v>551.74</v>
      </c>
      <c r="BQ37" s="4">
        <f t="shared" si="22"/>
        <v>-2.9996385977592022E-3</v>
      </c>
      <c r="BR37" s="4">
        <f t="shared" si="28"/>
        <v>-8.8384292027449129E-3</v>
      </c>
      <c r="BS37" s="4">
        <f t="shared" si="9"/>
        <v>4.3688790184583937E-3</v>
      </c>
      <c r="BT37" s="4">
        <f t="shared" si="35"/>
        <v>0.22235857468655248</v>
      </c>
      <c r="BU37">
        <f t="shared" si="23"/>
        <v>615.04999999999995</v>
      </c>
      <c r="BV37" s="4">
        <f t="shared" si="10"/>
        <v>-0.10293472075441013</v>
      </c>
      <c r="BW37" s="4"/>
    </row>
    <row r="38" spans="6:75" x14ac:dyDescent="0.25">
      <c r="F38" s="1">
        <f>Clean_Data!G37</f>
        <v>46136</v>
      </c>
      <c r="G38" t="str">
        <f>Clean_Data!H37</f>
        <v>3556.91</v>
      </c>
      <c r="H38" s="4">
        <f t="shared" si="11"/>
        <v>-6.127683830514985E-3</v>
      </c>
      <c r="I38" s="4">
        <f t="shared" si="24"/>
        <v>-3.8828838566718926E-2</v>
      </c>
      <c r="J38" s="4">
        <f t="shared" si="0"/>
        <v>4.5252312719664234E-2</v>
      </c>
      <c r="K38" s="4">
        <f t="shared" si="30"/>
        <v>0.19071630842812315</v>
      </c>
      <c r="L38" t="str">
        <f t="shared" si="12"/>
        <v>3700.6</v>
      </c>
      <c r="M38" s="4">
        <f t="shared" si="1"/>
        <v>-3.8828838566718926E-2</v>
      </c>
      <c r="R38" s="1">
        <f>Clean_Data!G37</f>
        <v>46136</v>
      </c>
      <c r="S38" t="str">
        <f>Clean_Data!I37</f>
        <v>8991.98</v>
      </c>
      <c r="T38" s="4">
        <f t="shared" si="13"/>
        <v>-4.5962251618973937E-3</v>
      </c>
      <c r="U38" s="4">
        <f t="shared" si="25"/>
        <v>-3.3847641560116104E-2</v>
      </c>
      <c r="V38" s="4">
        <f t="shared" si="2"/>
        <v>4.7925936457694718E-2</v>
      </c>
      <c r="W38" s="4">
        <f t="shared" si="31"/>
        <v>0.18704373623650195</v>
      </c>
      <c r="X38" t="str">
        <f t="shared" si="14"/>
        <v>9307</v>
      </c>
      <c r="Y38" s="4">
        <f t="shared" si="3"/>
        <v>-3.3847641560116104E-2</v>
      </c>
      <c r="AE38" s="1">
        <f>Clean_Data!G37</f>
        <v>46136</v>
      </c>
      <c r="AF38" t="str">
        <f>Clean_Data!J37</f>
        <v>31083.68</v>
      </c>
      <c r="AG38" s="4">
        <f t="shared" si="15"/>
        <v>-4.4391376926988801E-3</v>
      </c>
      <c r="AH38" s="4">
        <f t="shared" si="29"/>
        <v>-3.2473997873974092E-3</v>
      </c>
      <c r="AI38" s="4">
        <f t="shared" si="4"/>
        <v>3.9276177013116698E-2</v>
      </c>
      <c r="AJ38" s="4">
        <f t="shared" si="32"/>
        <v>0.12308380966117101</v>
      </c>
      <c r="AK38" t="str">
        <f t="shared" si="16"/>
        <v>31295.94</v>
      </c>
      <c r="AL38" s="4">
        <f t="shared" si="5"/>
        <v>-6.7823494037884124E-3</v>
      </c>
      <c r="AQ38" s="1">
        <f>Clean_Data!G37</f>
        <v>46136</v>
      </c>
      <c r="AR38">
        <f>Clean_Data!K37</f>
        <v>3.6294</v>
      </c>
      <c r="AS38" s="4">
        <f t="shared" si="17"/>
        <v>-7.4337160320470108E-4</v>
      </c>
      <c r="AT38" s="4">
        <f t="shared" si="26"/>
        <v>1.0637112942748939E-2</v>
      </c>
      <c r="AU38" s="4">
        <f t="shared" si="6"/>
        <v>-1.8338201882505678E-2</v>
      </c>
      <c r="AV38" s="4">
        <f t="shared" si="33"/>
        <v>8.9929331239102295E-2</v>
      </c>
      <c r="AW38">
        <f t="shared" si="18"/>
        <v>3.7408000000000001</v>
      </c>
      <c r="AX38" s="4">
        <f t="shared" si="7"/>
        <v>-2.9779726261762285E-2</v>
      </c>
      <c r="BC38" s="1">
        <f>Clean_Data!G37</f>
        <v>46136</v>
      </c>
      <c r="BD38">
        <f>Clean_Data!L37</f>
        <v>4.2427999999999999</v>
      </c>
      <c r="BE38" s="4">
        <f t="shared" si="19"/>
        <v>-1.717606644549563E-3</v>
      </c>
      <c r="BF38" s="4">
        <f t="shared" si="27"/>
        <v>1.723527328532537E-3</v>
      </c>
      <c r="BG38" s="4">
        <f t="shared" si="8"/>
        <v>-1.0402574987171676E-2</v>
      </c>
      <c r="BH38" s="4">
        <f t="shared" si="34"/>
        <v>2.7368640120940195E-2</v>
      </c>
      <c r="BI38">
        <f t="shared" si="20"/>
        <v>4.2893999999999997</v>
      </c>
      <c r="BJ38" s="4">
        <f t="shared" si="21"/>
        <v>-1.0863990301673843E-2</v>
      </c>
      <c r="BO38" s="1">
        <f>Clean_Data!G37</f>
        <v>46136</v>
      </c>
      <c r="BP38">
        <f>Clean_Data!M37</f>
        <v>549.14</v>
      </c>
      <c r="BQ38" s="4">
        <f t="shared" si="22"/>
        <v>-4.7123645195200625E-3</v>
      </c>
      <c r="BR38" s="4">
        <f t="shared" si="28"/>
        <v>-1.3757183908045922E-2</v>
      </c>
      <c r="BS38" s="4">
        <f t="shared" si="9"/>
        <v>-3.6407325153831049E-4</v>
      </c>
      <c r="BT38" s="4">
        <f t="shared" si="35"/>
        <v>0.20448976241440237</v>
      </c>
      <c r="BU38">
        <f t="shared" si="23"/>
        <v>615.04999999999995</v>
      </c>
      <c r="BV38" s="4">
        <f t="shared" si="10"/>
        <v>-0.10716201934802039</v>
      </c>
      <c r="BW38" s="4"/>
    </row>
    <row r="39" spans="6:75" x14ac:dyDescent="0.25">
      <c r="F39" s="1">
        <f>Clean_Data!G38</f>
        <v>46139</v>
      </c>
      <c r="G39" t="str">
        <f>Clean_Data!H38</f>
        <v>3528.9</v>
      </c>
      <c r="H39" s="4">
        <f t="shared" si="11"/>
        <v>-7.8748126885413994E-3</v>
      </c>
      <c r="I39" s="4">
        <f t="shared" si="24"/>
        <v>-3.7623470762450761E-2</v>
      </c>
      <c r="J39" s="4">
        <f t="shared" si="0"/>
        <v>3.7021146544732098E-2</v>
      </c>
      <c r="K39" s="4">
        <f t="shared" si="30"/>
        <v>0.19421571481388436</v>
      </c>
      <c r="L39" t="str">
        <f t="shared" si="12"/>
        <v>3700.6</v>
      </c>
      <c r="M39" s="4">
        <f t="shared" si="1"/>
        <v>-4.6397881424633747E-2</v>
      </c>
      <c r="R39" s="1">
        <f>Clean_Data!G38</f>
        <v>46139</v>
      </c>
      <c r="S39" t="str">
        <f>Clean_Data!I38</f>
        <v>8955.93</v>
      </c>
      <c r="T39" s="4">
        <f t="shared" si="13"/>
        <v>-4.0091281341817497E-3</v>
      </c>
      <c r="U39" s="4">
        <f t="shared" si="25"/>
        <v>-3.0773925926567247E-2</v>
      </c>
      <c r="V39" s="4">
        <f t="shared" si="2"/>
        <v>4.3724667103303583E-2</v>
      </c>
      <c r="W39" s="4">
        <f t="shared" si="31"/>
        <v>0.18757624206951654</v>
      </c>
      <c r="X39" t="str">
        <f t="shared" si="14"/>
        <v>9307</v>
      </c>
      <c r="Y39" s="4">
        <f t="shared" si="3"/>
        <v>-3.7721070162243464E-2</v>
      </c>
      <c r="AE39" s="1">
        <f>Clean_Data!G38</f>
        <v>46139</v>
      </c>
      <c r="AF39" t="str">
        <f>Clean_Data!J38</f>
        <v>31070.16</v>
      </c>
      <c r="AG39" s="4">
        <f t="shared" si="15"/>
        <v>-4.3495493455092404E-4</v>
      </c>
      <c r="AH39" s="4">
        <f t="shared" si="29"/>
        <v>-4.2518579244255061E-3</v>
      </c>
      <c r="AI39" s="4">
        <f t="shared" si="4"/>
        <v>3.882413871156376E-2</v>
      </c>
      <c r="AJ39" s="4">
        <f t="shared" si="32"/>
        <v>0.12047885762449759</v>
      </c>
      <c r="AK39" t="str">
        <f t="shared" si="16"/>
        <v>31295.94</v>
      </c>
      <c r="AL39" s="4">
        <f t="shared" si="5"/>
        <v>-7.2143543219982398E-3</v>
      </c>
      <c r="AQ39" s="1">
        <f>Clean_Data!G38</f>
        <v>46139</v>
      </c>
      <c r="AR39">
        <f>Clean_Data!K38</f>
        <v>3.613</v>
      </c>
      <c r="AS39" s="4">
        <f t="shared" si="17"/>
        <v>-4.5186532209180452E-3</v>
      </c>
      <c r="AT39" s="4">
        <f t="shared" si="26"/>
        <v>3.4717400361061745E-3</v>
      </c>
      <c r="AU39" s="4">
        <f t="shared" si="6"/>
        <v>-2.2773991128421489E-2</v>
      </c>
      <c r="AV39" s="4">
        <f t="shared" si="33"/>
        <v>8.9174041667401185E-2</v>
      </c>
      <c r="AW39">
        <f t="shared" si="18"/>
        <v>3.7408000000000001</v>
      </c>
      <c r="AX39" s="4">
        <f t="shared" si="7"/>
        <v>-3.4163815226689542E-2</v>
      </c>
      <c r="BC39" s="1">
        <f>Clean_Data!G38</f>
        <v>46139</v>
      </c>
      <c r="BD39">
        <f>Clean_Data!L38</f>
        <v>4.2445000000000004</v>
      </c>
      <c r="BE39" s="4">
        <f t="shared" si="19"/>
        <v>4.0067879702099241E-4</v>
      </c>
      <c r="BF39" s="4">
        <f t="shared" si="27"/>
        <v>2.3378831530722621E-3</v>
      </c>
      <c r="BG39" s="4">
        <f t="shared" si="8"/>
        <v>-1.000606428138251E-2</v>
      </c>
      <c r="BH39" s="4">
        <f t="shared" si="34"/>
        <v>2.7361326984938594E-2</v>
      </c>
      <c r="BI39">
        <f t="shared" si="20"/>
        <v>4.2893999999999997</v>
      </c>
      <c r="BJ39" s="4">
        <f t="shared" si="21"/>
        <v>-1.0467664475217853E-2</v>
      </c>
      <c r="BO39" s="1">
        <f>Clean_Data!G38</f>
        <v>46139</v>
      </c>
      <c r="BP39">
        <f>Clean_Data!M38</f>
        <v>547.28</v>
      </c>
      <c r="BQ39" s="4">
        <f t="shared" si="22"/>
        <v>-3.3871143970571893E-3</v>
      </c>
      <c r="BR39" s="4">
        <f t="shared" si="28"/>
        <v>-1.152331755951308E-2</v>
      </c>
      <c r="BS39" s="4">
        <f t="shared" si="9"/>
        <v>-3.7499544908436988E-3</v>
      </c>
      <c r="BT39" s="4">
        <f t="shared" si="35"/>
        <v>0.18347755243706859</v>
      </c>
      <c r="BU39">
        <f t="shared" si="23"/>
        <v>615.04999999999995</v>
      </c>
      <c r="BV39" s="4">
        <f t="shared" si="10"/>
        <v>-0.11018616372652623</v>
      </c>
      <c r="BW39" s="4"/>
    </row>
    <row r="40" spans="6:75" x14ac:dyDescent="0.25">
      <c r="F40" s="1">
        <f>Clean_Data!G39</f>
        <v>46140</v>
      </c>
      <c r="G40" t="str">
        <f>Clean_Data!H39</f>
        <v>3502.06</v>
      </c>
      <c r="H40" s="4">
        <f t="shared" si="11"/>
        <v>-7.6057695032446526E-3</v>
      </c>
      <c r="I40" s="4">
        <f t="shared" si="24"/>
        <v>-3.7895604395604465E-2</v>
      </c>
      <c r="J40" s="4">
        <f t="shared" si="0"/>
        <v>2.913380273412236E-2</v>
      </c>
      <c r="K40" s="4">
        <f t="shared" si="30"/>
        <v>0.19072515516002542</v>
      </c>
      <c r="L40" t="str">
        <f t="shared" si="12"/>
        <v>3700.6</v>
      </c>
      <c r="M40" s="4">
        <f t="shared" si="1"/>
        <v>-5.3650759336323794E-2</v>
      </c>
      <c r="R40" s="1">
        <f>Clean_Data!G39</f>
        <v>46140</v>
      </c>
      <c r="S40" t="str">
        <f>Clean_Data!I39</f>
        <v>8919.38</v>
      </c>
      <c r="T40" s="4">
        <f t="shared" si="13"/>
        <v>-4.0810948723360996E-3</v>
      </c>
      <c r="U40" s="4">
        <f t="shared" si="25"/>
        <v>-2.2841035203174598E-2</v>
      </c>
      <c r="V40" s="4">
        <f t="shared" si="2"/>
        <v>3.9465127716257431E-2</v>
      </c>
      <c r="W40" s="4">
        <f t="shared" si="31"/>
        <v>0.18765699209305803</v>
      </c>
      <c r="X40" t="str">
        <f t="shared" si="14"/>
        <v>9307</v>
      </c>
      <c r="Y40" s="4">
        <f t="shared" si="3"/>
        <v>-4.1648221768561422E-2</v>
      </c>
      <c r="AE40" s="1">
        <f>Clean_Data!G39</f>
        <v>46140</v>
      </c>
      <c r="AF40" t="str">
        <f>Clean_Data!J39</f>
        <v>30863.43</v>
      </c>
      <c r="AG40" s="4">
        <f t="shared" si="15"/>
        <v>-6.653650962853086E-3</v>
      </c>
      <c r="AH40" s="4">
        <f t="shared" si="29"/>
        <v>-1.3820003489270483E-2</v>
      </c>
      <c r="AI40" s="4">
        <f t="shared" si="4"/>
        <v>3.1912165480790566E-2</v>
      </c>
      <c r="AJ40" s="4">
        <f t="shared" si="32"/>
        <v>0.11511643332509174</v>
      </c>
      <c r="AK40" t="str">
        <f t="shared" si="16"/>
        <v>31295.94</v>
      </c>
      <c r="AL40" s="4">
        <f t="shared" si="5"/>
        <v>-1.3820003489270483E-2</v>
      </c>
      <c r="AQ40" s="1">
        <f>Clean_Data!G39</f>
        <v>46140</v>
      </c>
      <c r="AR40">
        <f>Clean_Data!K39</f>
        <v>3.6293000000000002</v>
      </c>
      <c r="AS40" s="4">
        <f t="shared" si="17"/>
        <v>4.5114862994741767E-3</v>
      </c>
      <c r="AT40" s="4">
        <f t="shared" si="26"/>
        <v>8.9797053099804902E-3</v>
      </c>
      <c r="AU40" s="4">
        <f t="shared" si="6"/>
        <v>-1.8365249377907511E-2</v>
      </c>
      <c r="AV40" s="4">
        <f t="shared" si="33"/>
        <v>8.6595922458988298E-2</v>
      </c>
      <c r="AW40">
        <f t="shared" si="18"/>
        <v>3.7408000000000001</v>
      </c>
      <c r="AX40" s="4">
        <f t="shared" si="7"/>
        <v>-2.9806458511548284E-2</v>
      </c>
      <c r="BC40" s="1">
        <f>Clean_Data!G39</f>
        <v>46140</v>
      </c>
      <c r="BD40">
        <f>Clean_Data!L39</f>
        <v>4.2469999999999999</v>
      </c>
      <c r="BE40" s="4">
        <f t="shared" si="19"/>
        <v>5.8899752621033308E-4</v>
      </c>
      <c r="BF40" s="4">
        <f t="shared" si="27"/>
        <v>3.5444234404535813E-3</v>
      </c>
      <c r="BG40" s="4">
        <f t="shared" si="8"/>
        <v>-9.4229603022810693E-3</v>
      </c>
      <c r="BH40" s="4">
        <f t="shared" si="34"/>
        <v>2.3766865434243032E-2</v>
      </c>
      <c r="BI40">
        <f t="shared" si="20"/>
        <v>4.2893999999999997</v>
      </c>
      <c r="BJ40" s="4">
        <f t="shared" si="21"/>
        <v>-9.884832377488606E-3</v>
      </c>
      <c r="BO40" s="1">
        <f>Clean_Data!G39</f>
        <v>46140</v>
      </c>
      <c r="BP40">
        <f>Clean_Data!M39</f>
        <v>546.61</v>
      </c>
      <c r="BQ40" s="4">
        <f t="shared" si="22"/>
        <v>-1.2242362227743442E-3</v>
      </c>
      <c r="BR40" s="4">
        <f t="shared" si="28"/>
        <v>-1.5276801960042552E-2</v>
      </c>
      <c r="BS40" s="4">
        <f t="shared" si="9"/>
        <v>-4.9695998834965449E-3</v>
      </c>
      <c r="BT40" s="4">
        <f t="shared" si="35"/>
        <v>0.1580970282646087</v>
      </c>
      <c r="BU40">
        <f t="shared" si="23"/>
        <v>615.04999999999995</v>
      </c>
      <c r="BV40" s="4">
        <f t="shared" si="10"/>
        <v>-0.11127550605641812</v>
      </c>
      <c r="BW40" s="4"/>
    </row>
    <row r="41" spans="6:75" x14ac:dyDescent="0.25">
      <c r="F41" s="1">
        <f>Clean_Data!G40</f>
        <v>46141</v>
      </c>
      <c r="G41" t="str">
        <f>Clean_Data!H40</f>
        <v>3503.71</v>
      </c>
      <c r="H41" s="4">
        <f t="shared" si="11"/>
        <v>4.7115126525532069E-4</v>
      </c>
      <c r="I41" s="4">
        <f t="shared" si="24"/>
        <v>-3.0992015531961403E-2</v>
      </c>
      <c r="J41" s="4">
        <f t="shared" si="0"/>
        <v>2.9618680427397681E-2</v>
      </c>
      <c r="K41" s="4">
        <f t="shared" si="30"/>
        <v>0.19099255066038182</v>
      </c>
      <c r="L41" t="str">
        <f t="shared" si="12"/>
        <v>3700.6</v>
      </c>
      <c r="M41" s="4">
        <f t="shared" si="1"/>
        <v>-5.3204885694211668E-2</v>
      </c>
      <c r="R41" s="1">
        <f>Clean_Data!G40</f>
        <v>46141</v>
      </c>
      <c r="S41" t="str">
        <f>Clean_Data!I40</f>
        <v>8960.77</v>
      </c>
      <c r="T41" s="4">
        <f t="shared" si="13"/>
        <v>4.6404570721285676E-3</v>
      </c>
      <c r="U41" s="4">
        <f t="shared" si="25"/>
        <v>-1.8982588437250869E-2</v>
      </c>
      <c r="V41" s="4">
        <f t="shared" si="2"/>
        <v>4.4288721019399402E-2</v>
      </c>
      <c r="W41" s="4">
        <f t="shared" si="31"/>
        <v>0.18755457739148917</v>
      </c>
      <c r="X41" t="str">
        <f t="shared" si="14"/>
        <v>9307</v>
      </c>
      <c r="Y41" s="4">
        <f t="shared" si="3"/>
        <v>-3.7201031481680413E-2</v>
      </c>
      <c r="AE41" s="1">
        <f>Clean_Data!G40</f>
        <v>46141</v>
      </c>
      <c r="AF41" t="str">
        <f>Clean_Data!J40</f>
        <v>30875.73</v>
      </c>
      <c r="AG41" s="4">
        <f t="shared" si="15"/>
        <v>3.9852991064170951E-4</v>
      </c>
      <c r="AH41" s="4">
        <f t="shared" si="29"/>
        <v>-1.3307175539927885E-2</v>
      </c>
      <c r="AI41" s="4">
        <f t="shared" si="4"/>
        <v>3.2323413343889662E-2</v>
      </c>
      <c r="AJ41" s="4">
        <f t="shared" si="32"/>
        <v>0.11441186841462454</v>
      </c>
      <c r="AK41" t="str">
        <f t="shared" si="16"/>
        <v>31295.94</v>
      </c>
      <c r="AL41" s="4">
        <f t="shared" si="5"/>
        <v>-1.3426981263384263E-2</v>
      </c>
      <c r="AQ41" s="1">
        <f>Clean_Data!G40</f>
        <v>46141</v>
      </c>
      <c r="AR41">
        <f>Clean_Data!K40</f>
        <v>3.6356000000000002</v>
      </c>
      <c r="AS41" s="4">
        <f t="shared" si="17"/>
        <v>1.7358719312263737E-3</v>
      </c>
      <c r="AT41" s="4">
        <f t="shared" si="26"/>
        <v>7.6496674057648928E-3</v>
      </c>
      <c r="AU41" s="4">
        <f t="shared" si="6"/>
        <v>-1.6661257167586263E-2</v>
      </c>
      <c r="AV41" s="4">
        <f t="shared" si="33"/>
        <v>8.6750774219518142E-2</v>
      </c>
      <c r="AW41">
        <f t="shared" si="18"/>
        <v>3.7408000000000001</v>
      </c>
      <c r="AX41" s="4">
        <f t="shared" si="7"/>
        <v>-2.8122326775021356E-2</v>
      </c>
      <c r="BC41" s="1">
        <f>Clean_Data!G40</f>
        <v>46141</v>
      </c>
      <c r="BD41">
        <f>Clean_Data!L40</f>
        <v>4.2537000000000003</v>
      </c>
      <c r="BE41" s="4">
        <f t="shared" si="19"/>
        <v>1.5775841770662158E-3</v>
      </c>
      <c r="BF41" s="4">
        <f t="shared" si="27"/>
        <v>3.0418788907753402E-3</v>
      </c>
      <c r="BG41" s="4">
        <f t="shared" si="8"/>
        <v>-7.8602416382888007E-3</v>
      </c>
      <c r="BH41" s="4">
        <f t="shared" si="34"/>
        <v>2.4821490413091913E-2</v>
      </c>
      <c r="BI41">
        <f t="shared" si="20"/>
        <v>4.2893999999999997</v>
      </c>
      <c r="BJ41" s="4">
        <f t="shared" si="21"/>
        <v>-8.3228423555740116E-3</v>
      </c>
      <c r="BO41" s="1">
        <f>Clean_Data!G40</f>
        <v>46141</v>
      </c>
      <c r="BP41">
        <f>Clean_Data!M40</f>
        <v>540.11</v>
      </c>
      <c r="BQ41" s="4">
        <f t="shared" si="22"/>
        <v>-1.1891476555496605E-2</v>
      </c>
      <c r="BR41" s="4">
        <f t="shared" si="28"/>
        <v>-2.401517889410909E-2</v>
      </c>
      <c r="BS41" s="4">
        <f t="shared" si="9"/>
        <v>-1.6801980558488361E-2</v>
      </c>
      <c r="BT41" s="4">
        <f t="shared" si="35"/>
        <v>0.16373326806164748</v>
      </c>
      <c r="BU41">
        <f t="shared" si="23"/>
        <v>615.04999999999995</v>
      </c>
      <c r="BV41" s="4">
        <f t="shared" si="10"/>
        <v>-0.12184375254044377</v>
      </c>
      <c r="BW41" s="4"/>
    </row>
    <row r="42" spans="6:75" x14ac:dyDescent="0.25">
      <c r="F42" s="1">
        <f>Clean_Data!G41</f>
        <v>46142</v>
      </c>
      <c r="G42" t="str">
        <f>Clean_Data!H41</f>
        <v>3487.99</v>
      </c>
      <c r="H42" s="4">
        <f t="shared" si="11"/>
        <v>-4.4866726983683325E-3</v>
      </c>
      <c r="I42" s="4">
        <f t="shared" si="24"/>
        <v>-2.5385320383141008E-2</v>
      </c>
      <c r="J42" s="4">
        <f t="shared" si="0"/>
        <v>2.4999118404193998E-2</v>
      </c>
      <c r="K42" s="4">
        <f t="shared" si="30"/>
        <v>0.18512327033417364</v>
      </c>
      <c r="L42" t="str">
        <f t="shared" si="12"/>
        <v>3700.6</v>
      </c>
      <c r="M42" s="4">
        <f t="shared" si="1"/>
        <v>-5.7452845484516013E-2</v>
      </c>
      <c r="R42" s="1">
        <f>Clean_Data!G41</f>
        <v>46142</v>
      </c>
      <c r="S42" t="str">
        <f>Clean_Data!I41</f>
        <v>8940.33</v>
      </c>
      <c r="T42" s="4">
        <f t="shared" si="13"/>
        <v>-2.2810539719243517E-3</v>
      </c>
      <c r="U42" s="4">
        <f t="shared" si="25"/>
        <v>-1.0313831848120847E-2</v>
      </c>
      <c r="V42" s="4">
        <f t="shared" si="2"/>
        <v>4.1906642084482248E-2</v>
      </c>
      <c r="W42" s="4">
        <f t="shared" si="31"/>
        <v>0.17670498296771983</v>
      </c>
      <c r="X42" t="str">
        <f t="shared" si="14"/>
        <v>9307</v>
      </c>
      <c r="Y42" s="4">
        <f t="shared" si="3"/>
        <v>-3.9397227892983833E-2</v>
      </c>
      <c r="AE42" s="1">
        <f>Clean_Data!G41</f>
        <v>46142</v>
      </c>
      <c r="AF42" t="str">
        <f>Clean_Data!J41</f>
        <v>30700.96</v>
      </c>
      <c r="AG42" s="4">
        <f t="shared" si="15"/>
        <v>-5.6604329679006415E-3</v>
      </c>
      <c r="AH42" s="4">
        <f t="shared" si="29"/>
        <v>-1.669705095207652E-2</v>
      </c>
      <c r="AI42" s="4">
        <f t="shared" si="4"/>
        <v>2.6480015861462203E-2</v>
      </c>
      <c r="AJ42" s="4">
        <f t="shared" si="32"/>
        <v>9.8100960196534429E-2</v>
      </c>
      <c r="AK42" t="str">
        <f t="shared" si="16"/>
        <v>31295.94</v>
      </c>
      <c r="AL42" s="4">
        <f t="shared" si="5"/>
        <v>-1.9011411703882319E-2</v>
      </c>
      <c r="AQ42" s="1">
        <f>Clean_Data!G41</f>
        <v>46142</v>
      </c>
      <c r="AR42">
        <f>Clean_Data!K41</f>
        <v>3.6459999999999999</v>
      </c>
      <c r="AS42" s="4">
        <f t="shared" si="17"/>
        <v>2.8606007261524624E-3</v>
      </c>
      <c r="AT42" s="4">
        <f t="shared" si="26"/>
        <v>3.826987142424576E-3</v>
      </c>
      <c r="AU42" s="4">
        <f t="shared" si="6"/>
        <v>-1.384831764578609E-2</v>
      </c>
      <c r="AV42" s="4">
        <f t="shared" si="33"/>
        <v>8.5890530427725431E-2</v>
      </c>
      <c r="AW42">
        <f t="shared" si="18"/>
        <v>3.7408000000000001</v>
      </c>
      <c r="AX42" s="4">
        <f t="shared" si="7"/>
        <v>-2.5342172797262696E-2</v>
      </c>
      <c r="BC42" s="1">
        <f>Clean_Data!G41</f>
        <v>46142</v>
      </c>
      <c r="BD42">
        <f>Clean_Data!L41</f>
        <v>4.2588999999999997</v>
      </c>
      <c r="BE42" s="4">
        <f t="shared" si="19"/>
        <v>1.2224651479886273E-3</v>
      </c>
      <c r="BF42" s="4">
        <f t="shared" si="27"/>
        <v>2.070539516717318E-3</v>
      </c>
      <c r="BG42" s="4">
        <f t="shared" si="8"/>
        <v>-6.647385361757796E-3</v>
      </c>
      <c r="BH42" s="4">
        <f t="shared" si="34"/>
        <v>2.4618033986044906E-2</v>
      </c>
      <c r="BI42">
        <f t="shared" si="20"/>
        <v>4.2893999999999997</v>
      </c>
      <c r="BJ42" s="4">
        <f t="shared" si="21"/>
        <v>-7.1105515922972318E-3</v>
      </c>
      <c r="BO42" s="1">
        <f>Clean_Data!G41</f>
        <v>46142</v>
      </c>
      <c r="BP42">
        <f>Clean_Data!M41</f>
        <v>534.42999999999995</v>
      </c>
      <c r="BQ42" s="4">
        <f t="shared" si="22"/>
        <v>-1.0516376293718044E-2</v>
      </c>
      <c r="BR42" s="4">
        <f t="shared" si="28"/>
        <v>-3.1373473012651032E-2</v>
      </c>
      <c r="BS42" s="4">
        <f t="shared" si="9"/>
        <v>-2.7141660902173625E-2</v>
      </c>
      <c r="BT42" s="4">
        <f t="shared" si="35"/>
        <v>0.13897615922231221</v>
      </c>
      <c r="BU42">
        <f t="shared" si="23"/>
        <v>615.04999999999995</v>
      </c>
      <c r="BV42" s="4">
        <f t="shared" si="10"/>
        <v>-0.13107877408340785</v>
      </c>
      <c r="BW42" s="4"/>
    </row>
    <row r="43" spans="6:75" x14ac:dyDescent="0.25">
      <c r="F43" s="1">
        <f>Clean_Data!G42</f>
        <v>46146</v>
      </c>
      <c r="G43" t="str">
        <f>Clean_Data!H42</f>
        <v>3491.84</v>
      </c>
      <c r="H43" s="4">
        <f t="shared" si="11"/>
        <v>1.103787568198511E-3</v>
      </c>
      <c r="I43" s="4">
        <f t="shared" si="24"/>
        <v>-1.8293968641320602E-2</v>
      </c>
      <c r="J43" s="4">
        <f t="shared" si="0"/>
        <v>0</v>
      </c>
      <c r="K43" s="4">
        <f t="shared" si="30"/>
        <v>0.17471441315210817</v>
      </c>
      <c r="L43" t="str">
        <f t="shared" si="12"/>
        <v>3700.6</v>
      </c>
      <c r="M43" s="4">
        <f t="shared" si="1"/>
        <v>-5.6412473652921125E-2</v>
      </c>
      <c r="R43" s="1">
        <f>Clean_Data!G42</f>
        <v>46146</v>
      </c>
      <c r="S43" t="str">
        <f>Clean_Data!I42</f>
        <v>9038.16</v>
      </c>
      <c r="T43" s="4">
        <f t="shared" si="13"/>
        <v>1.0942549100536603E-2</v>
      </c>
      <c r="U43" s="4">
        <f t="shared" si="25"/>
        <v>5.1356875793762136E-3</v>
      </c>
      <c r="V43" s="4">
        <f t="shared" si="2"/>
        <v>0</v>
      </c>
      <c r="W43" s="4">
        <f t="shared" si="31"/>
        <v>0.17496638138246562</v>
      </c>
      <c r="X43" t="str">
        <f t="shared" si="14"/>
        <v>9307</v>
      </c>
      <c r="Y43" s="4">
        <f t="shared" si="3"/>
        <v>-2.8885784893091238E-2</v>
      </c>
      <c r="AE43" s="1">
        <f>Clean_Data!G42</f>
        <v>46146</v>
      </c>
      <c r="AF43" t="str">
        <f>Clean_Data!J42</f>
        <v>30704.55</v>
      </c>
      <c r="AG43" s="4">
        <f t="shared" si="15"/>
        <v>1.1693445416693926E-4</v>
      </c>
      <c r="AH43" s="4">
        <f t="shared" si="29"/>
        <v>-1.2197075764517007E-2</v>
      </c>
      <c r="AI43" s="4">
        <f t="shared" si="4"/>
        <v>0</v>
      </c>
      <c r="AJ43" s="4">
        <f t="shared" si="32"/>
        <v>9.3404892504049319E-2</v>
      </c>
      <c r="AK43" t="str">
        <f t="shared" si="16"/>
        <v>31295.94</v>
      </c>
      <c r="AL43" s="4">
        <f t="shared" si="5"/>
        <v>-1.8896700338766004E-2</v>
      </c>
      <c r="AQ43" s="1">
        <f>Clean_Data!G42</f>
        <v>46146</v>
      </c>
      <c r="AR43">
        <f>Clean_Data!K42</f>
        <v>3.6303000000000001</v>
      </c>
      <c r="AS43" s="4">
        <f t="shared" si="17"/>
        <v>-4.3060888645090056E-3</v>
      </c>
      <c r="AT43" s="4">
        <f t="shared" si="26"/>
        <v>2.4797487187977474E-4</v>
      </c>
      <c r="AU43" s="4">
        <f t="shared" si="6"/>
        <v>0</v>
      </c>
      <c r="AV43" s="4">
        <f t="shared" si="33"/>
        <v>7.7671639153588407E-2</v>
      </c>
      <c r="AW43">
        <f t="shared" si="18"/>
        <v>3.7408000000000001</v>
      </c>
      <c r="AX43" s="4">
        <f t="shared" si="7"/>
        <v>-2.9539136013686962E-2</v>
      </c>
      <c r="BC43" s="1">
        <f>Clean_Data!G42</f>
        <v>46146</v>
      </c>
      <c r="BD43">
        <f>Clean_Data!L42</f>
        <v>4.2544000000000004</v>
      </c>
      <c r="BE43" s="4">
        <f t="shared" si="19"/>
        <v>-1.0566108619595171E-3</v>
      </c>
      <c r="BF43" s="4">
        <f t="shared" si="27"/>
        <v>2.7340435561422627E-3</v>
      </c>
      <c r="BG43" s="4">
        <f t="shared" si="8"/>
        <v>0</v>
      </c>
      <c r="BH43" s="4">
        <f t="shared" si="34"/>
        <v>2.4742108300834263E-2</v>
      </c>
      <c r="BI43">
        <f t="shared" si="20"/>
        <v>4.2893999999999997</v>
      </c>
      <c r="BJ43" s="4">
        <f t="shared" si="21"/>
        <v>-8.159649368209787E-3</v>
      </c>
      <c r="BO43" s="1">
        <f>Clean_Data!G42</f>
        <v>46146</v>
      </c>
      <c r="BP43">
        <f>Clean_Data!M42</f>
        <v>540.99</v>
      </c>
      <c r="BQ43" s="4">
        <f t="shared" si="22"/>
        <v>1.2274760024699294E-2</v>
      </c>
      <c r="BR43" s="4">
        <f t="shared" si="28"/>
        <v>-1.4841388352696883E-2</v>
      </c>
      <c r="BS43" s="4">
        <f t="shared" si="9"/>
        <v>0</v>
      </c>
      <c r="BT43" s="4">
        <f t="shared" si="35"/>
        <v>0.14077706021842729</v>
      </c>
      <c r="BU43">
        <f t="shared" si="23"/>
        <v>615.04999999999995</v>
      </c>
      <c r="BV43" s="4">
        <f t="shared" si="10"/>
        <v>-0.12041297455491418</v>
      </c>
      <c r="BW43" s="4"/>
    </row>
    <row r="44" spans="6:75" x14ac:dyDescent="0.25">
      <c r="F44" s="1">
        <f>Clean_Data!G43</f>
        <v>46147</v>
      </c>
      <c r="G44" t="str">
        <f>Clean_Data!H43</f>
        <v>3529.57</v>
      </c>
      <c r="H44" s="4">
        <f t="shared" si="11"/>
        <v>1.0805191532258007E-2</v>
      </c>
      <c r="I44" s="4">
        <f t="shared" si="24"/>
        <v>1.8986086315853079E-4</v>
      </c>
      <c r="J44" s="4">
        <f t="shared" si="0"/>
        <v>1.0805191532258007E-2</v>
      </c>
      <c r="K44" s="4">
        <f t="shared" si="30"/>
        <v>0.17585932004580096</v>
      </c>
      <c r="L44" t="str">
        <f t="shared" si="12"/>
        <v>3700.6</v>
      </c>
      <c r="M44" s="4">
        <f t="shared" si="1"/>
        <v>-4.6216829703291329E-2</v>
      </c>
      <c r="R44" s="1">
        <f>Clean_Data!G43</f>
        <v>46147</v>
      </c>
      <c r="S44" t="str">
        <f>Clean_Data!I43</f>
        <v>9102.68</v>
      </c>
      <c r="T44" s="4">
        <f t="shared" si="13"/>
        <v>7.1386211352753026E-3</v>
      </c>
      <c r="U44" s="4">
        <f t="shared" si="25"/>
        <v>1.6385791313688225E-2</v>
      </c>
      <c r="V44" s="4">
        <f t="shared" si="2"/>
        <v>7.1386211352753026E-3</v>
      </c>
      <c r="W44" s="4">
        <f t="shared" si="31"/>
        <v>0.17449528807739065</v>
      </c>
      <c r="X44" t="str">
        <f t="shared" si="14"/>
        <v>9307</v>
      </c>
      <c r="Y44" s="4">
        <f t="shared" si="3"/>
        <v>-2.195336843236273E-2</v>
      </c>
      <c r="AE44" s="1">
        <f>Clean_Data!G43</f>
        <v>46147</v>
      </c>
      <c r="AF44" t="str">
        <f>Clean_Data!J43</f>
        <v>30718.89</v>
      </c>
      <c r="AG44" s="4">
        <f t="shared" si="15"/>
        <v>4.6703175913664907E-4</v>
      </c>
      <c r="AH44" s="4">
        <f t="shared" si="29"/>
        <v>-1.1305702963872788E-2</v>
      </c>
      <c r="AI44" s="4">
        <f t="shared" si="4"/>
        <v>4.6703175913664907E-4</v>
      </c>
      <c r="AJ44" s="4">
        <f t="shared" si="32"/>
        <v>9.3089531624459529E-2</v>
      </c>
      <c r="AK44" t="str">
        <f t="shared" si="16"/>
        <v>31295.94</v>
      </c>
      <c r="AL44" s="4">
        <f t="shared" si="5"/>
        <v>-1.8438493938830347E-2</v>
      </c>
      <c r="AQ44" s="1">
        <f>Clean_Data!G43</f>
        <v>46147</v>
      </c>
      <c r="AR44">
        <f>Clean_Data!K43</f>
        <v>3.6402999999999999</v>
      </c>
      <c r="AS44" s="4">
        <f t="shared" si="17"/>
        <v>2.7545932843016097E-3</v>
      </c>
      <c r="AT44" s="4">
        <f t="shared" si="26"/>
        <v>7.5560476058675885E-3</v>
      </c>
      <c r="AU44" s="4">
        <f t="shared" si="6"/>
        <v>2.7545932843016097E-3</v>
      </c>
      <c r="AV44" s="4">
        <f t="shared" si="33"/>
        <v>7.4602587706494111E-2</v>
      </c>
      <c r="AW44">
        <f t="shared" si="18"/>
        <v>3.7408000000000001</v>
      </c>
      <c r="AX44" s="4">
        <f t="shared" si="7"/>
        <v>-2.6865911035072743E-2</v>
      </c>
      <c r="BC44" s="1">
        <f>Clean_Data!G43</f>
        <v>46147</v>
      </c>
      <c r="BD44">
        <f>Clean_Data!L43</f>
        <v>4.2550999999999997</v>
      </c>
      <c r="BE44" s="4">
        <f t="shared" si="19"/>
        <v>1.6453553967643586E-4</v>
      </c>
      <c r="BF44" s="4">
        <f t="shared" si="27"/>
        <v>2.4973495111317856E-3</v>
      </c>
      <c r="BG44" s="4">
        <f t="shared" si="8"/>
        <v>1.6453553967643586E-4</v>
      </c>
      <c r="BH44" s="4">
        <f t="shared" si="34"/>
        <v>2.4802627461192227E-2</v>
      </c>
      <c r="BI44">
        <f t="shared" si="20"/>
        <v>4.2893999999999997</v>
      </c>
      <c r="BJ44" s="4">
        <f t="shared" si="21"/>
        <v>-7.9964563808457845E-3</v>
      </c>
      <c r="BO44" s="1">
        <f>Clean_Data!G43</f>
        <v>46147</v>
      </c>
      <c r="BP44">
        <f>Clean_Data!M43</f>
        <v>534.09</v>
      </c>
      <c r="BQ44" s="4">
        <f t="shared" si="22"/>
        <v>-1.2754394720789652E-2</v>
      </c>
      <c r="BR44" s="4">
        <f t="shared" si="28"/>
        <v>-2.4101008624469955E-2</v>
      </c>
      <c r="BS44" s="4">
        <f t="shared" si="9"/>
        <v>-1.2754394720789652E-2</v>
      </c>
      <c r="BT44" s="4">
        <f t="shared" si="35"/>
        <v>0.11587453607045288</v>
      </c>
      <c r="BU44">
        <f t="shared" si="23"/>
        <v>615.04999999999995</v>
      </c>
      <c r="BV44" s="4">
        <f t="shared" si="10"/>
        <v>-0.13163157466872599</v>
      </c>
      <c r="BW44" s="4"/>
    </row>
    <row r="45" spans="6:75" x14ac:dyDescent="0.25">
      <c r="F45" s="1">
        <f>Clean_Data!G44</f>
        <v>46148</v>
      </c>
      <c r="G45" t="str">
        <f>Clean_Data!H44</f>
        <v>3629.57</v>
      </c>
      <c r="H45" s="4">
        <f t="shared" si="11"/>
        <v>2.8332063112503691E-2</v>
      </c>
      <c r="I45" s="4">
        <f t="shared" si="24"/>
        <v>3.6409998686487421E-2</v>
      </c>
      <c r="J45" s="4">
        <f t="shared" si="0"/>
        <v>3.9443388013196579E-2</v>
      </c>
      <c r="K45" s="4">
        <f t="shared" si="30"/>
        <v>0.19812744326052656</v>
      </c>
      <c r="L45" t="str">
        <f t="shared" si="12"/>
        <v>3700.6</v>
      </c>
      <c r="M45" s="4">
        <f t="shared" si="1"/>
        <v>-1.9194184726801011E-2</v>
      </c>
      <c r="R45" s="1">
        <f>Clean_Data!G44</f>
        <v>46148</v>
      </c>
      <c r="S45" t="str">
        <f>Clean_Data!I44</f>
        <v>9261.74</v>
      </c>
      <c r="T45" s="4">
        <f t="shared" si="13"/>
        <v>1.7473974697561623E-2</v>
      </c>
      <c r="U45" s="4">
        <f t="shared" si="25"/>
        <v>3.8383833853922633E-2</v>
      </c>
      <c r="V45" s="4">
        <f t="shared" si="2"/>
        <v>2.4737335917930148E-2</v>
      </c>
      <c r="W45" s="4">
        <f t="shared" si="31"/>
        <v>0.18111675669560137</v>
      </c>
      <c r="X45" t="str">
        <f t="shared" si="14"/>
        <v>9307</v>
      </c>
      <c r="Y45" s="4">
        <f t="shared" si="3"/>
        <v>-4.8630063393144685E-3</v>
      </c>
      <c r="AE45" s="1">
        <f>Clean_Data!G44</f>
        <v>46148</v>
      </c>
      <c r="AF45" t="str">
        <f>Clean_Data!J44</f>
        <v>31200.46</v>
      </c>
      <c r="AG45" s="4">
        <f t="shared" si="15"/>
        <v>1.5676673213127268E-2</v>
      </c>
      <c r="AH45" s="4">
        <f t="shared" si="29"/>
        <v>1.0920043559643267E-2</v>
      </c>
      <c r="AI45" s="4">
        <f t="shared" si="4"/>
        <v>1.6151026476531882E-2</v>
      </c>
      <c r="AJ45" s="4">
        <f t="shared" si="32"/>
        <v>0.10320829508395689</v>
      </c>
      <c r="AK45" t="str">
        <f t="shared" si="16"/>
        <v>31295.94</v>
      </c>
      <c r="AL45" s="4">
        <f t="shared" si="5"/>
        <v>-3.0508749697244486E-3</v>
      </c>
      <c r="AQ45" s="1">
        <f>Clean_Data!G44</f>
        <v>46148</v>
      </c>
      <c r="AR45">
        <f>Clean_Data!K44</f>
        <v>3.6004999999999998</v>
      </c>
      <c r="AS45" s="4">
        <f t="shared" si="17"/>
        <v>-1.0933164849050936E-2</v>
      </c>
      <c r="AT45" s="4">
        <f t="shared" si="26"/>
        <v>-7.935414542749375E-3</v>
      </c>
      <c r="AU45" s="4">
        <f t="shared" si="6"/>
        <v>-8.2086879872187435E-3</v>
      </c>
      <c r="AV45" s="4">
        <f t="shared" si="33"/>
        <v>7.852981768771887E-2</v>
      </c>
      <c r="AW45">
        <f t="shared" si="18"/>
        <v>3.7408000000000001</v>
      </c>
      <c r="AX45" s="4">
        <f t="shared" si="7"/>
        <v>-3.7505346449957289E-2</v>
      </c>
      <c r="BC45" s="1">
        <f>Clean_Data!G44</f>
        <v>46148</v>
      </c>
      <c r="BD45">
        <f>Clean_Data!L44</f>
        <v>4.2351000000000001</v>
      </c>
      <c r="BE45" s="4">
        <f t="shared" si="19"/>
        <v>-4.700242062466109E-3</v>
      </c>
      <c r="BF45" s="4">
        <f t="shared" si="27"/>
        <v>-2.8019778667294215E-3</v>
      </c>
      <c r="BG45" s="4">
        <f t="shared" si="8"/>
        <v>-4.5364798796541095E-3</v>
      </c>
      <c r="BH45" s="4">
        <f t="shared" si="34"/>
        <v>2.6092620362454483E-2</v>
      </c>
      <c r="BI45">
        <f t="shared" si="20"/>
        <v>4.2893999999999997</v>
      </c>
      <c r="BJ45" s="4">
        <f t="shared" si="21"/>
        <v>-1.265911316267998E-2</v>
      </c>
      <c r="BO45" s="1">
        <f>Clean_Data!G44</f>
        <v>46148</v>
      </c>
      <c r="BP45">
        <f>Clean_Data!M44</f>
        <v>533.41</v>
      </c>
      <c r="BQ45" s="4">
        <f t="shared" si="22"/>
        <v>-1.2731936564999158E-3</v>
      </c>
      <c r="BR45" s="4">
        <f t="shared" si="28"/>
        <v>-2.4148844697316263E-2</v>
      </c>
      <c r="BS45" s="4">
        <f t="shared" si="9"/>
        <v>-1.401134956283856E-2</v>
      </c>
      <c r="BT45" s="4">
        <f t="shared" si="35"/>
        <v>0.11366019210074386</v>
      </c>
      <c r="BU45">
        <f t="shared" si="23"/>
        <v>615.04999999999995</v>
      </c>
      <c r="BV45" s="4">
        <f t="shared" si="10"/>
        <v>-0.13273717583936262</v>
      </c>
      <c r="BW45" s="4"/>
    </row>
    <row r="46" spans="6:75" x14ac:dyDescent="0.25">
      <c r="F46" s="1">
        <f>Clean_Data!G45</f>
        <v>46149</v>
      </c>
      <c r="G46" t="str">
        <f>Clean_Data!H45</f>
        <v>3592.99</v>
      </c>
      <c r="H46" s="4">
        <f t="shared" si="11"/>
        <v>-1.0078328837851425E-2</v>
      </c>
      <c r="I46" s="4">
        <f t="shared" si="24"/>
        <v>2.5481560973938944E-2</v>
      </c>
      <c r="J46" s="4">
        <f t="shared" si="0"/>
        <v>2.8967535740469064E-2</v>
      </c>
      <c r="K46" s="4">
        <f t="shared" si="30"/>
        <v>0.1653807590013561</v>
      </c>
      <c r="L46" t="str">
        <f t="shared" si="12"/>
        <v>3700.6</v>
      </c>
      <c r="M46" s="4">
        <f t="shared" si="1"/>
        <v>-2.9079068259201257E-2</v>
      </c>
      <c r="R46" s="1">
        <f>Clean_Data!G45</f>
        <v>46149</v>
      </c>
      <c r="S46" t="str">
        <f>Clean_Data!I45</f>
        <v>9244.69</v>
      </c>
      <c r="T46" s="4">
        <f t="shared" si="13"/>
        <v>-1.8409067842543037E-3</v>
      </c>
      <c r="U46" s="4">
        <f t="shared" si="25"/>
        <v>3.1684777089468819E-2</v>
      </c>
      <c r="V46" s="4">
        <f t="shared" si="2"/>
        <v>2.2850890004160185E-2</v>
      </c>
      <c r="W46" s="4">
        <f t="shared" si="31"/>
        <v>0.14411090561984755</v>
      </c>
      <c r="X46" t="str">
        <f t="shared" si="14"/>
        <v>9307</v>
      </c>
      <c r="Y46" s="4">
        <f t="shared" si="3"/>
        <v>-6.6949607822068824E-3</v>
      </c>
      <c r="AE46" s="1">
        <f>Clean_Data!G45</f>
        <v>46149</v>
      </c>
      <c r="AF46" t="str">
        <f>Clean_Data!J45</f>
        <v>31021.47</v>
      </c>
      <c r="AG46" s="4">
        <f t="shared" si="15"/>
        <v>-5.7367743937107862E-3</v>
      </c>
      <c r="AH46" s="4">
        <f t="shared" si="29"/>
        <v>4.7202122832399329E-3</v>
      </c>
      <c r="AI46" s="4">
        <f t="shared" si="4"/>
        <v>1.0321597287698436E-2</v>
      </c>
      <c r="AJ46" s="4">
        <f t="shared" si="32"/>
        <v>9.5707461659109011E-2</v>
      </c>
      <c r="AK46" t="str">
        <f t="shared" si="16"/>
        <v>31295.94</v>
      </c>
      <c r="AL46" s="4">
        <f t="shared" si="5"/>
        <v>-8.7701471820305077E-3</v>
      </c>
      <c r="AQ46" s="1">
        <f>Clean_Data!G45</f>
        <v>46149</v>
      </c>
      <c r="AR46">
        <f>Clean_Data!K45</f>
        <v>3.5920999999999998</v>
      </c>
      <c r="AS46" s="4">
        <f t="shared" si="17"/>
        <v>-2.3330093042632782E-3</v>
      </c>
      <c r="AT46" s="4">
        <f t="shared" si="26"/>
        <v>-1.1965012652657148E-2</v>
      </c>
      <c r="AU46" s="4">
        <f t="shared" si="6"/>
        <v>-1.0522546346032113E-2</v>
      </c>
      <c r="AV46" s="4">
        <f t="shared" si="33"/>
        <v>7.006758907869208E-2</v>
      </c>
      <c r="AW46">
        <f t="shared" si="18"/>
        <v>3.7408000000000001</v>
      </c>
      <c r="AX46" s="4">
        <f t="shared" si="7"/>
        <v>-3.9750855431993193E-2</v>
      </c>
      <c r="BC46" s="1">
        <f>Clean_Data!G45</f>
        <v>46149</v>
      </c>
      <c r="BD46">
        <f>Clean_Data!L45</f>
        <v>4.2286000000000001</v>
      </c>
      <c r="BE46" s="4">
        <f t="shared" si="19"/>
        <v>-1.5347925668814932E-3</v>
      </c>
      <c r="BF46" s="4">
        <f t="shared" si="27"/>
        <v>-5.900745233561433E-3</v>
      </c>
      <c r="BG46" s="4">
        <f t="shared" si="8"/>
        <v>-6.0643098909365367E-3</v>
      </c>
      <c r="BH46" s="4">
        <f t="shared" si="34"/>
        <v>2.6014291858473561E-2</v>
      </c>
      <c r="BI46">
        <f t="shared" si="20"/>
        <v>4.2893999999999997</v>
      </c>
      <c r="BJ46" s="4">
        <f t="shared" si="21"/>
        <v>-1.4174476616776177E-2</v>
      </c>
      <c r="BO46" s="1">
        <f>Clean_Data!G45</f>
        <v>46149</v>
      </c>
      <c r="BP46">
        <f>Clean_Data!M45</f>
        <v>544</v>
      </c>
      <c r="BQ46" s="4">
        <f t="shared" si="22"/>
        <v>1.9853396074314356E-2</v>
      </c>
      <c r="BR46" s="4">
        <f t="shared" si="28"/>
        <v>7.2022365814370382E-3</v>
      </c>
      <c r="BS46" s="4">
        <f t="shared" si="9"/>
        <v>5.5638736390690724E-3</v>
      </c>
      <c r="BT46" s="4">
        <f t="shared" si="35"/>
        <v>0.13769662046472167</v>
      </c>
      <c r="BU46">
        <f t="shared" si="23"/>
        <v>615.04999999999995</v>
      </c>
      <c r="BV46" s="4">
        <f t="shared" si="10"/>
        <v>-0.11551906349077301</v>
      </c>
      <c r="BW46" s="4"/>
    </row>
    <row r="47" spans="6:75" x14ac:dyDescent="0.25">
      <c r="F47" s="1">
        <f>Clean_Data!G46</f>
        <v>46150</v>
      </c>
      <c r="G47" t="str">
        <f>Clean_Data!H46</f>
        <v>3535.94</v>
      </c>
      <c r="H47" s="4">
        <f t="shared" si="11"/>
        <v>-1.5878140490232284E-2</v>
      </c>
      <c r="I47" s="4">
        <f t="shared" si="24"/>
        <v>1.3747172440288002E-2</v>
      </c>
      <c r="J47" s="4">
        <f t="shared" si="0"/>
        <v>1.2629444648093902E-2</v>
      </c>
      <c r="K47" s="4">
        <f t="shared" si="30"/>
        <v>0.17472021782197333</v>
      </c>
      <c r="L47" t="str">
        <f t="shared" si="12"/>
        <v>3700.6</v>
      </c>
      <c r="M47" s="4">
        <f t="shared" si="1"/>
        <v>-4.4495487218288887E-2</v>
      </c>
      <c r="R47" s="1">
        <f>Clean_Data!G46</f>
        <v>46150</v>
      </c>
      <c r="S47" t="str">
        <f>Clean_Data!I46</f>
        <v>9068.23</v>
      </c>
      <c r="T47" s="4">
        <f t="shared" si="13"/>
        <v>-1.9087714136439504E-2</v>
      </c>
      <c r="U47" s="4">
        <f t="shared" si="25"/>
        <v>1.4305959623414299E-2</v>
      </c>
      <c r="V47" s="4">
        <f t="shared" si="2"/>
        <v>3.3270046115581042E-3</v>
      </c>
      <c r="W47" s="4">
        <f t="shared" si="31"/>
        <v>0.16166047192271843</v>
      </c>
      <c r="X47" t="str">
        <f t="shared" si="14"/>
        <v>9307</v>
      </c>
      <c r="Y47" s="4">
        <f t="shared" si="3"/>
        <v>-2.565488342108091E-2</v>
      </c>
      <c r="AE47" s="1">
        <f>Clean_Data!G46</f>
        <v>46150</v>
      </c>
      <c r="AF47" t="str">
        <f>Clean_Data!J46</f>
        <v>30908</v>
      </c>
      <c r="AG47" s="4">
        <f t="shared" si="15"/>
        <v>-3.6577892665951017E-3</v>
      </c>
      <c r="AH47" s="4">
        <f t="shared" si="29"/>
        <v>6.7437630614808342E-3</v>
      </c>
      <c r="AI47" s="4">
        <f t="shared" si="4"/>
        <v>6.6260537933302555E-3</v>
      </c>
      <c r="AJ47" s="4">
        <f t="shared" si="32"/>
        <v>9.6907917966470941E-2</v>
      </c>
      <c r="AK47" t="str">
        <f t="shared" si="16"/>
        <v>31295.94</v>
      </c>
      <c r="AL47" s="4">
        <f t="shared" si="5"/>
        <v>-1.2395857098396745E-2</v>
      </c>
      <c r="AQ47" s="1">
        <f>Clean_Data!G46</f>
        <v>46150</v>
      </c>
      <c r="AR47">
        <f>Clean_Data!K46</f>
        <v>3.5947</v>
      </c>
      <c r="AS47" s="4">
        <f t="shared" si="17"/>
        <v>7.238105843379028E-4</v>
      </c>
      <c r="AT47" s="4">
        <f t="shared" si="26"/>
        <v>-1.407021393307728E-2</v>
      </c>
      <c r="AU47" s="4">
        <f t="shared" si="6"/>
        <v>-9.8063520921136682E-3</v>
      </c>
      <c r="AV47" s="4">
        <f t="shared" si="33"/>
        <v>7.0134113347140495E-2</v>
      </c>
      <c r="AW47">
        <f t="shared" si="18"/>
        <v>3.7408000000000001</v>
      </c>
      <c r="AX47" s="4">
        <f t="shared" si="7"/>
        <v>-3.9055816937553445E-2</v>
      </c>
      <c r="BC47" s="1">
        <f>Clean_Data!G46</f>
        <v>46150</v>
      </c>
      <c r="BD47">
        <f>Clean_Data!L46</f>
        <v>4.2283999999999997</v>
      </c>
      <c r="BE47" s="4">
        <f t="shared" si="19"/>
        <v>-4.7296977723210176E-5</v>
      </c>
      <c r="BF47" s="4">
        <f t="shared" si="27"/>
        <v>-7.1614736199487883E-3</v>
      </c>
      <c r="BG47" s="4">
        <f t="shared" si="8"/>
        <v>-6.111320045129931E-3</v>
      </c>
      <c r="BH47" s="4">
        <f t="shared" si="34"/>
        <v>2.6042255931837968E-2</v>
      </c>
      <c r="BI47">
        <f t="shared" si="20"/>
        <v>4.2893999999999997</v>
      </c>
      <c r="BJ47" s="4">
        <f t="shared" si="21"/>
        <v>-1.4221103184594575E-2</v>
      </c>
      <c r="BO47" s="1">
        <f>Clean_Data!G46</f>
        <v>46150</v>
      </c>
      <c r="BP47">
        <f>Clean_Data!M46</f>
        <v>546.29</v>
      </c>
      <c r="BQ47" s="4">
        <f t="shared" si="22"/>
        <v>4.209558823529358E-3</v>
      </c>
      <c r="BR47" s="4">
        <f t="shared" si="28"/>
        <v>2.2191867971483648E-2</v>
      </c>
      <c r="BS47" s="4">
        <f t="shared" si="9"/>
        <v>9.7968539159687396E-3</v>
      </c>
      <c r="BT47" s="4">
        <f t="shared" si="35"/>
        <v>0.12964348730212294</v>
      </c>
      <c r="BU47">
        <f t="shared" si="23"/>
        <v>615.04999999999995</v>
      </c>
      <c r="BV47" s="4">
        <f t="shared" si="10"/>
        <v>-0.11179578896024711</v>
      </c>
      <c r="BW47" s="4"/>
    </row>
    <row r="48" spans="6:75" x14ac:dyDescent="0.25">
      <c r="F48" s="1">
        <f>Clean_Data!G47</f>
        <v>46153</v>
      </c>
      <c r="G48" t="str">
        <f>Clean_Data!H47</f>
        <v>3586.34</v>
      </c>
      <c r="H48" s="4">
        <f t="shared" si="11"/>
        <v>1.4253635525489639E-2</v>
      </c>
      <c r="I48" s="4">
        <f t="shared" si="24"/>
        <v>2.7063095674486837E-2</v>
      </c>
      <c r="J48" s="4">
        <f t="shared" si="0"/>
        <v>2.7063095674486837E-2</v>
      </c>
      <c r="K48" s="4">
        <f t="shared" si="30"/>
        <v>0.17652163050834069</v>
      </c>
      <c r="L48" t="str">
        <f t="shared" si="12"/>
        <v>3700.6</v>
      </c>
      <c r="M48" s="4">
        <f t="shared" si="1"/>
        <v>-3.0876074150137711E-2</v>
      </c>
      <c r="R48" s="1">
        <f>Clean_Data!G47</f>
        <v>46153</v>
      </c>
      <c r="S48" t="str">
        <f>Clean_Data!I47</f>
        <v>9135.19</v>
      </c>
      <c r="T48" s="4">
        <f t="shared" si="13"/>
        <v>7.3840209169817594E-3</v>
      </c>
      <c r="U48" s="4">
        <f t="shared" si="25"/>
        <v>1.0735592200182387E-2</v>
      </c>
      <c r="V48" s="4">
        <f t="shared" si="2"/>
        <v>1.0735592200182387E-2</v>
      </c>
      <c r="W48" s="4">
        <f t="shared" si="31"/>
        <v>0.15404079734973625</v>
      </c>
      <c r="X48" t="str">
        <f t="shared" si="14"/>
        <v>9307</v>
      </c>
      <c r="Y48" s="4">
        <f t="shared" si="3"/>
        <v>-1.8460298699903288E-2</v>
      </c>
      <c r="AE48" s="1">
        <f>Clean_Data!G47</f>
        <v>46153</v>
      </c>
      <c r="AF48" t="str">
        <f>Clean_Data!J47</f>
        <v>31025.13</v>
      </c>
      <c r="AG48" s="4">
        <f t="shared" si="15"/>
        <v>3.789633751779542E-3</v>
      </c>
      <c r="AH48" s="4">
        <f t="shared" si="29"/>
        <v>1.0440797862206086E-2</v>
      </c>
      <c r="AI48" s="4">
        <f t="shared" si="4"/>
        <v>1.0440797862206086E-2</v>
      </c>
      <c r="AJ48" s="4">
        <f t="shared" si="32"/>
        <v>9.722958446138262E-2</v>
      </c>
      <c r="AK48" t="str">
        <f t="shared" si="16"/>
        <v>31295.94</v>
      </c>
      <c r="AL48" s="4">
        <f t="shared" si="5"/>
        <v>-8.6531991050595725E-3</v>
      </c>
      <c r="AQ48" s="1">
        <f>Clean_Data!G47</f>
        <v>46153</v>
      </c>
      <c r="AR48">
        <f>Clean_Data!K47</f>
        <v>3.6006999999999998</v>
      </c>
      <c r="AS48" s="4">
        <f t="shared" si="17"/>
        <v>1.6691239880934905E-3</v>
      </c>
      <c r="AT48" s="4">
        <f t="shared" si="26"/>
        <v>-8.153596121532769E-3</v>
      </c>
      <c r="AU48" s="4">
        <f t="shared" si="6"/>
        <v>-8.153596121532769E-3</v>
      </c>
      <c r="AV48" s="4">
        <f t="shared" si="33"/>
        <v>7.0110074097856648E-2</v>
      </c>
      <c r="AW48">
        <f t="shared" si="18"/>
        <v>3.7408000000000001</v>
      </c>
      <c r="AX48" s="4">
        <f t="shared" si="7"/>
        <v>-3.7451881950385069E-2</v>
      </c>
      <c r="BC48" s="1">
        <f>Clean_Data!G47</f>
        <v>46153</v>
      </c>
      <c r="BD48">
        <f>Clean_Data!L47</f>
        <v>4.2385999999999999</v>
      </c>
      <c r="BE48" s="4">
        <f t="shared" si="19"/>
        <v>2.4122599564848635E-3</v>
      </c>
      <c r="BF48" s="4">
        <f t="shared" si="27"/>
        <v>-3.713802181271264E-3</v>
      </c>
      <c r="BG48" s="4">
        <f t="shared" si="8"/>
        <v>-3.713802181271264E-3</v>
      </c>
      <c r="BH48" s="4">
        <f t="shared" si="34"/>
        <v>2.7278166400189575E-2</v>
      </c>
      <c r="BI48">
        <f t="shared" si="20"/>
        <v>4.2893999999999997</v>
      </c>
      <c r="BJ48" s="4">
        <f t="shared" si="21"/>
        <v>-1.1843148225859079E-2</v>
      </c>
      <c r="BO48" s="1">
        <f>Clean_Data!G47</f>
        <v>46153</v>
      </c>
      <c r="BP48">
        <f>Clean_Data!M47</f>
        <v>544.91999999999996</v>
      </c>
      <c r="BQ48" s="4">
        <f t="shared" si="22"/>
        <v>-2.5078255139211469E-3</v>
      </c>
      <c r="BR48" s="4">
        <f t="shared" si="28"/>
        <v>7.2644596018409668E-3</v>
      </c>
      <c r="BS48" s="4">
        <f t="shared" si="9"/>
        <v>7.2644596018409668E-3</v>
      </c>
      <c r="BT48" s="4">
        <f t="shared" si="35"/>
        <v>0.12150071253711768</v>
      </c>
      <c r="BU48">
        <f t="shared" si="23"/>
        <v>615.04999999999995</v>
      </c>
      <c r="BV48" s="4">
        <f t="shared" si="10"/>
        <v>-0.11402325014226489</v>
      </c>
      <c r="BW48" s="4"/>
    </row>
    <row r="49" spans="6:75" x14ac:dyDescent="0.25">
      <c r="F49" s="1">
        <f>Clean_Data!G48</f>
        <v>46154</v>
      </c>
      <c r="G49" t="str">
        <f>Clean_Data!H48</f>
        <v>3518.79</v>
      </c>
      <c r="H49" s="4">
        <f t="shared" si="11"/>
        <v>-1.8835358610728492E-2</v>
      </c>
      <c r="I49" s="4">
        <f t="shared" si="24"/>
        <v>-3.0541964035279978E-3</v>
      </c>
      <c r="J49" s="4">
        <f t="shared" si="0"/>
        <v>7.7179939516127671E-3</v>
      </c>
      <c r="K49" s="4">
        <f t="shared" si="30"/>
        <v>0.18865728417006508</v>
      </c>
      <c r="L49" t="str">
        <f t="shared" si="12"/>
        <v>3700.6</v>
      </c>
      <c r="M49" s="4">
        <f t="shared" si="1"/>
        <v>-4.9129870831757017E-2</v>
      </c>
      <c r="R49" s="1">
        <f>Clean_Data!G48</f>
        <v>46154</v>
      </c>
      <c r="S49" t="str">
        <f>Clean_Data!I48</f>
        <v>9034.25</v>
      </c>
      <c r="T49" s="4">
        <f t="shared" si="13"/>
        <v>-1.1049578607560506E-2</v>
      </c>
      <c r="U49" s="4">
        <f t="shared" si="25"/>
        <v>-7.5175662552128264E-3</v>
      </c>
      <c r="V49" s="4">
        <f t="shared" si="2"/>
        <v>-4.3261017729268048E-4</v>
      </c>
      <c r="W49" s="4">
        <f t="shared" si="31"/>
        <v>0.15948519522712026</v>
      </c>
      <c r="X49" t="str">
        <f t="shared" si="14"/>
        <v>9307</v>
      </c>
      <c r="Y49" s="4">
        <f t="shared" si="3"/>
        <v>-2.9305898785860096E-2</v>
      </c>
      <c r="AE49" s="1">
        <f>Clean_Data!G48</f>
        <v>46154</v>
      </c>
      <c r="AF49" t="str">
        <f>Clean_Data!J48</f>
        <v>30722.35</v>
      </c>
      <c r="AG49" s="4">
        <f t="shared" si="15"/>
        <v>-9.7591855376594205E-3</v>
      </c>
      <c r="AH49" s="4">
        <f t="shared" si="29"/>
        <v>1.1263427812657767E-4</v>
      </c>
      <c r="AI49" s="4">
        <f t="shared" si="4"/>
        <v>5.7971864104833237E-4</v>
      </c>
      <c r="AJ49" s="4">
        <f t="shared" si="32"/>
        <v>0.1034468757300237</v>
      </c>
      <c r="AK49" t="str">
        <f t="shared" si="16"/>
        <v>31295.94</v>
      </c>
      <c r="AL49" s="4">
        <f t="shared" si="5"/>
        <v>-1.8327936467158357E-2</v>
      </c>
      <c r="AQ49" s="1">
        <f>Clean_Data!G48</f>
        <v>46154</v>
      </c>
      <c r="AR49">
        <f>Clean_Data!K48</f>
        <v>3.6166999999999998</v>
      </c>
      <c r="AS49" s="4">
        <f t="shared" si="17"/>
        <v>4.4435804149194347E-3</v>
      </c>
      <c r="AT49" s="4">
        <f t="shared" si="26"/>
        <v>-6.482982171799101E-3</v>
      </c>
      <c r="AU49" s="4">
        <f t="shared" si="6"/>
        <v>-3.7462468666502602E-3</v>
      </c>
      <c r="AV49" s="4">
        <f t="shared" si="33"/>
        <v>7.2292769291045361E-2</v>
      </c>
      <c r="AW49">
        <f t="shared" si="18"/>
        <v>3.7408000000000001</v>
      </c>
      <c r="AX49" s="4">
        <f t="shared" si="7"/>
        <v>-3.3174721984602362E-2</v>
      </c>
      <c r="BC49" s="1">
        <f>Clean_Data!G48</f>
        <v>46154</v>
      </c>
      <c r="BD49">
        <f>Clean_Data!L48</f>
        <v>4.2477999999999998</v>
      </c>
      <c r="BE49" s="4">
        <f t="shared" si="19"/>
        <v>2.1705280045296593E-3</v>
      </c>
      <c r="BF49" s="4">
        <f t="shared" si="27"/>
        <v>-1.7155883528001681E-3</v>
      </c>
      <c r="BG49" s="4">
        <f t="shared" si="8"/>
        <v>-1.5513350883792354E-3</v>
      </c>
      <c r="BH49" s="4">
        <f t="shared" si="34"/>
        <v>2.8440883043331085E-2</v>
      </c>
      <c r="BI49">
        <f t="shared" si="20"/>
        <v>4.2893999999999997</v>
      </c>
      <c r="BJ49" s="4">
        <f t="shared" si="21"/>
        <v>-9.6983261062152382E-3</v>
      </c>
      <c r="BO49" s="1">
        <f>Clean_Data!G48</f>
        <v>46154</v>
      </c>
      <c r="BP49">
        <f>Clean_Data!M48</f>
        <v>540.25</v>
      </c>
      <c r="BQ49" s="4">
        <f t="shared" si="22"/>
        <v>-8.5700653306907126E-3</v>
      </c>
      <c r="BR49" s="4">
        <f t="shared" si="28"/>
        <v>1.1533636652998558E-2</v>
      </c>
      <c r="BS49" s="4">
        <f t="shared" si="9"/>
        <v>-1.3678626222296542E-3</v>
      </c>
      <c r="BT49" s="4">
        <f t="shared" si="35"/>
        <v>0.12446512437757828</v>
      </c>
      <c r="BU49">
        <f t="shared" si="23"/>
        <v>615.04999999999995</v>
      </c>
      <c r="BV49" s="4">
        <f t="shared" si="10"/>
        <v>-0.12161612877001859</v>
      </c>
      <c r="BW49" s="4"/>
    </row>
    <row r="50" spans="6:75" x14ac:dyDescent="0.25">
      <c r="F50" s="1">
        <f>Clean_Data!G49</f>
        <v>46155</v>
      </c>
      <c r="G50" t="str">
        <f>Clean_Data!H49</f>
        <v>3592.36</v>
      </c>
      <c r="H50" s="4">
        <f t="shared" si="11"/>
        <v>2.0907755222675961E-2</v>
      </c>
      <c r="I50" s="4">
        <f t="shared" si="24"/>
        <v>-1.0251903118000172E-2</v>
      </c>
      <c r="J50" s="4">
        <f t="shared" si="0"/>
        <v>2.8787115102639316E-2</v>
      </c>
      <c r="K50" s="4">
        <f t="shared" si="30"/>
        <v>0.1997230455991218</v>
      </c>
      <c r="L50" t="str">
        <f t="shared" si="12"/>
        <v>3700.6</v>
      </c>
      <c r="M50" s="4">
        <f t="shared" si="1"/>
        <v>-2.9249310922553007E-2</v>
      </c>
      <c r="R50" s="1">
        <f>Clean_Data!G49</f>
        <v>46155</v>
      </c>
      <c r="S50" t="str">
        <f>Clean_Data!I49</f>
        <v>9053.59</v>
      </c>
      <c r="T50" s="4">
        <f t="shared" si="13"/>
        <v>2.1407421756094447E-3</v>
      </c>
      <c r="U50" s="4">
        <f t="shared" si="25"/>
        <v>-2.2474178718037807E-2</v>
      </c>
      <c r="V50" s="4">
        <f t="shared" si="2"/>
        <v>1.7072058914646693E-3</v>
      </c>
      <c r="W50" s="4">
        <f t="shared" si="31"/>
        <v>0.15278053822768659</v>
      </c>
      <c r="X50" t="str">
        <f t="shared" si="14"/>
        <v>9307</v>
      </c>
      <c r="Y50" s="4">
        <f t="shared" si="3"/>
        <v>-2.7227892983775592E-2</v>
      </c>
      <c r="AE50" s="1">
        <f>Clean_Data!G49</f>
        <v>46155</v>
      </c>
      <c r="AF50" t="str">
        <f>Clean_Data!J49</f>
        <v>30833.8</v>
      </c>
      <c r="AG50" s="4">
        <f t="shared" si="15"/>
        <v>3.627652181555252E-3</v>
      </c>
      <c r="AH50" s="4">
        <f t="shared" si="29"/>
        <v>-1.1751749813945001E-2</v>
      </c>
      <c r="AI50" s="4">
        <f t="shared" si="4"/>
        <v>4.2094738401963205E-3</v>
      </c>
      <c r="AJ50" s="4">
        <f t="shared" si="32"/>
        <v>0.10113684107222373</v>
      </c>
      <c r="AK50" t="str">
        <f t="shared" si="16"/>
        <v>31295.94</v>
      </c>
      <c r="AL50" s="4">
        <f t="shared" si="5"/>
        <v>-1.4766771664311729E-2</v>
      </c>
      <c r="AQ50" s="1">
        <f>Clean_Data!G49</f>
        <v>46155</v>
      </c>
      <c r="AR50">
        <f>Clean_Data!K49</f>
        <v>3.6335999999999999</v>
      </c>
      <c r="AS50" s="4">
        <f t="shared" si="17"/>
        <v>4.6727679929217114E-3</v>
      </c>
      <c r="AT50" s="4">
        <f t="shared" si="26"/>
        <v>9.1931676156089548E-3</v>
      </c>
      <c r="AU50" s="4">
        <f t="shared" si="6"/>
        <v>9.0901578381941128E-4</v>
      </c>
      <c r="AV50" s="4">
        <f t="shared" si="33"/>
        <v>6.4729231583250571E-2</v>
      </c>
      <c r="AW50">
        <f t="shared" si="18"/>
        <v>3.7408000000000001</v>
      </c>
      <c r="AX50" s="4">
        <f t="shared" si="7"/>
        <v>-2.8656971770744222E-2</v>
      </c>
      <c r="BC50" s="1">
        <f>Clean_Data!G49</f>
        <v>46155</v>
      </c>
      <c r="BD50">
        <f>Clean_Data!L49</f>
        <v>4.2523999999999997</v>
      </c>
      <c r="BE50" s="4">
        <f t="shared" si="19"/>
        <v>1.0829135081689145E-3</v>
      </c>
      <c r="BF50" s="4">
        <f t="shared" si="27"/>
        <v>4.0849094472383829E-3</v>
      </c>
      <c r="BG50" s="4">
        <f t="shared" si="8"/>
        <v>-4.7010154193316556E-4</v>
      </c>
      <c r="BH50" s="4">
        <f t="shared" si="34"/>
        <v>2.801406479258349E-2</v>
      </c>
      <c r="BI50">
        <f t="shared" si="20"/>
        <v>4.2893999999999997</v>
      </c>
      <c r="BJ50" s="4">
        <f t="shared" si="21"/>
        <v>-8.6259150463934287E-3</v>
      </c>
      <c r="BO50" s="1">
        <f>Clean_Data!G49</f>
        <v>46155</v>
      </c>
      <c r="BP50">
        <f>Clean_Data!M49</f>
        <v>546.80999999999995</v>
      </c>
      <c r="BQ50" s="4">
        <f t="shared" si="22"/>
        <v>1.2142526608051707E-2</v>
      </c>
      <c r="BR50" s="4">
        <f t="shared" si="28"/>
        <v>2.5121388800359856E-2</v>
      </c>
      <c r="BS50" s="4">
        <f t="shared" si="9"/>
        <v>1.0758054677535434E-2</v>
      </c>
      <c r="BT50" s="4">
        <f t="shared" si="35"/>
        <v>0.1326103775739256</v>
      </c>
      <c r="BU50">
        <f t="shared" si="23"/>
        <v>615.04999999999995</v>
      </c>
      <c r="BV50" s="4">
        <f t="shared" si="10"/>
        <v>-0.11095032924152515</v>
      </c>
      <c r="BW50" s="4"/>
    </row>
    <row r="51" spans="6:75" x14ac:dyDescent="0.25">
      <c r="F51" s="1">
        <f>Clean_Data!G50</f>
        <v>46156</v>
      </c>
      <c r="G51" t="str">
        <f>Clean_Data!H50</f>
        <v>3631.56</v>
      </c>
      <c r="H51" s="4">
        <f t="shared" si="11"/>
        <v>1.0912046676836429E-2</v>
      </c>
      <c r="I51" s="4">
        <f t="shared" si="24"/>
        <v>1.0734791914255304E-2</v>
      </c>
      <c r="J51" s="4">
        <f t="shared" si="0"/>
        <v>4.0013288123167179E-2</v>
      </c>
      <c r="K51" s="4">
        <f t="shared" si="30"/>
        <v>0.20161343322045858</v>
      </c>
      <c r="L51" t="str">
        <f t="shared" si="12"/>
        <v>3700.6</v>
      </c>
      <c r="M51" s="4">
        <f t="shared" si="1"/>
        <v>-1.865643409176887E-2</v>
      </c>
      <c r="R51" s="1">
        <f>Clean_Data!G50</f>
        <v>46156</v>
      </c>
      <c r="S51" t="str">
        <f>Clean_Data!I50</f>
        <v>9183.84</v>
      </c>
      <c r="T51" s="4">
        <f t="shared" si="13"/>
        <v>1.438655826031443E-2</v>
      </c>
      <c r="U51" s="4">
        <f t="shared" si="25"/>
        <v>-6.5821568922268536E-3</v>
      </c>
      <c r="V51" s="4">
        <f t="shared" si="2"/>
        <v>1.6118324968799058E-2</v>
      </c>
      <c r="W51" s="4">
        <f t="shared" si="31"/>
        <v>0.15747249307318015</v>
      </c>
      <c r="X51" t="str">
        <f t="shared" si="14"/>
        <v>9307</v>
      </c>
      <c r="Y51" s="4">
        <f t="shared" si="3"/>
        <v>-1.3233050392177925E-2</v>
      </c>
      <c r="AE51" s="1">
        <f>Clean_Data!G50</f>
        <v>46156</v>
      </c>
      <c r="AF51" t="str">
        <f>Clean_Data!J50</f>
        <v>30898.43</v>
      </c>
      <c r="AG51" s="4">
        <f t="shared" si="15"/>
        <v>2.0960763837087892E-3</v>
      </c>
      <c r="AH51" s="4">
        <f t="shared" si="29"/>
        <v>-3.966285285642468E-3</v>
      </c>
      <c r="AI51" s="4">
        <f t="shared" si="4"/>
        <v>6.3143736026094466E-3</v>
      </c>
      <c r="AJ51" s="4">
        <f t="shared" si="32"/>
        <v>9.8174825904935994E-2</v>
      </c>
      <c r="AK51" t="str">
        <f t="shared" si="16"/>
        <v>31295.94</v>
      </c>
      <c r="AL51" s="4">
        <f t="shared" si="5"/>
        <v>-1.2701647561952023E-2</v>
      </c>
      <c r="AQ51" s="1">
        <f>Clean_Data!G50</f>
        <v>46156</v>
      </c>
      <c r="AR51">
        <f>Clean_Data!K50</f>
        <v>3.6204999999999998</v>
      </c>
      <c r="AS51" s="4">
        <f t="shared" si="17"/>
        <v>-3.6052399823865988E-3</v>
      </c>
      <c r="AT51" s="4">
        <f t="shared" si="26"/>
        <v>7.9062386904595883E-3</v>
      </c>
      <c r="AU51" s="4">
        <f t="shared" si="6"/>
        <v>-2.6995014186156352E-3</v>
      </c>
      <c r="AV51" s="4">
        <f t="shared" si="33"/>
        <v>6.5723916544559155E-2</v>
      </c>
      <c r="AW51">
        <f t="shared" si="18"/>
        <v>3.7408000000000001</v>
      </c>
      <c r="AX51" s="4">
        <f t="shared" si="7"/>
        <v>-3.2158896492728961E-2</v>
      </c>
      <c r="BC51" s="1">
        <f>Clean_Data!G50</f>
        <v>46156</v>
      </c>
      <c r="BD51">
        <f>Clean_Data!L50</f>
        <v>4.2401</v>
      </c>
      <c r="BE51" s="4">
        <f t="shared" si="19"/>
        <v>-2.8924842441914178E-3</v>
      </c>
      <c r="BF51" s="4">
        <f t="shared" si="27"/>
        <v>2.7195762190794781E-3</v>
      </c>
      <c r="BG51" s="4">
        <f t="shared" si="8"/>
        <v>-3.3612260248214731E-3</v>
      </c>
      <c r="BH51" s="4">
        <f t="shared" si="34"/>
        <v>2.9431482731376645E-2</v>
      </c>
      <c r="BI51">
        <f t="shared" si="20"/>
        <v>4.2893999999999997</v>
      </c>
      <c r="BJ51" s="4">
        <f t="shared" si="21"/>
        <v>-1.1493448967221487E-2</v>
      </c>
      <c r="BO51" s="1">
        <f>Clean_Data!G50</f>
        <v>46156</v>
      </c>
      <c r="BP51">
        <f>Clean_Data!M50</f>
        <v>549.04</v>
      </c>
      <c r="BQ51" s="4">
        <f t="shared" si="22"/>
        <v>4.0781990087965792E-3</v>
      </c>
      <c r="BR51" s="4">
        <f t="shared" si="28"/>
        <v>9.2647058823529527E-3</v>
      </c>
      <c r="BS51" s="4">
        <f t="shared" si="9"/>
        <v>1.4880127174254465E-2</v>
      </c>
      <c r="BT51" s="4">
        <f t="shared" si="35"/>
        <v>0.13290620563552591</v>
      </c>
      <c r="BU51">
        <f t="shared" si="23"/>
        <v>615.04999999999995</v>
      </c>
      <c r="BV51" s="4">
        <f t="shared" si="10"/>
        <v>-0.10732460775546704</v>
      </c>
      <c r="BW51" s="4"/>
    </row>
    <row r="52" spans="6:75" x14ac:dyDescent="0.25">
      <c r="F52" s="1">
        <f>Clean_Data!G51</f>
        <v>46157</v>
      </c>
      <c r="G52" t="str">
        <f>Clean_Data!H51</f>
        <v>3545.38</v>
      </c>
      <c r="H52" s="4">
        <f t="shared" si="11"/>
        <v>-2.3730848450803421E-2</v>
      </c>
      <c r="I52" s="4">
        <f t="shared" si="24"/>
        <v>2.6697285587424791E-3</v>
      </c>
      <c r="J52" s="4">
        <f t="shared" si="0"/>
        <v>1.5332890395894472E-2</v>
      </c>
      <c r="K52" s="4">
        <f t="shared" si="30"/>
        <v>0.21772279014260057</v>
      </c>
      <c r="L52" t="str">
        <f t="shared" si="12"/>
        <v>3700.6</v>
      </c>
      <c r="M52" s="4">
        <f t="shared" si="1"/>
        <v>-4.1944549532508146E-2</v>
      </c>
      <c r="R52" s="1">
        <f>Clean_Data!G51</f>
        <v>46157</v>
      </c>
      <c r="S52" t="str">
        <f>Clean_Data!I51</f>
        <v>9139.42</v>
      </c>
      <c r="T52" s="4">
        <f t="shared" si="13"/>
        <v>-4.8367567379222765E-3</v>
      </c>
      <c r="U52" s="4">
        <f t="shared" si="25"/>
        <v>7.8504846039415543E-3</v>
      </c>
      <c r="V52" s="4">
        <f t="shared" si="2"/>
        <v>1.1203607813979888E-2</v>
      </c>
      <c r="W52" s="4">
        <f t="shared" si="31"/>
        <v>0.15680245703823176</v>
      </c>
      <c r="X52" t="str">
        <f t="shared" si="14"/>
        <v>9307</v>
      </c>
      <c r="Y52" s="4">
        <f t="shared" si="3"/>
        <v>-1.8005802084452571E-2</v>
      </c>
      <c r="AE52" s="1">
        <f>Clean_Data!G51</f>
        <v>46157</v>
      </c>
      <c r="AF52" t="str">
        <f>Clean_Data!J51</f>
        <v>30806.97</v>
      </c>
      <c r="AG52" s="4">
        <f t="shared" si="15"/>
        <v>-2.9600209460480809E-3</v>
      </c>
      <c r="AH52" s="4">
        <f t="shared" si="29"/>
        <v>-3.2687330141063509E-3</v>
      </c>
      <c r="AI52" s="4">
        <f t="shared" si="4"/>
        <v>3.3356619784363772E-3</v>
      </c>
      <c r="AJ52" s="4">
        <f t="shared" si="32"/>
        <v>9.8396252480654173E-2</v>
      </c>
      <c r="AK52" t="str">
        <f t="shared" si="16"/>
        <v>31295.94</v>
      </c>
      <c r="AL52" s="4">
        <f t="shared" si="5"/>
        <v>-1.5624071365167413E-2</v>
      </c>
      <c r="AQ52" s="1">
        <f>Clean_Data!G51</f>
        <v>46157</v>
      </c>
      <c r="AR52">
        <f>Clean_Data!K51</f>
        <v>3.6524999999999999</v>
      </c>
      <c r="AS52" s="4">
        <f t="shared" si="17"/>
        <v>8.8385582101919713E-3</v>
      </c>
      <c r="AT52" s="4">
        <f t="shared" si="26"/>
        <v>1.6079227751968128E-2</v>
      </c>
      <c r="AU52" s="4">
        <f t="shared" si="6"/>
        <v>6.1151970911494935E-3</v>
      </c>
      <c r="AV52" s="4">
        <f t="shared" si="33"/>
        <v>7.2258504660583409E-2</v>
      </c>
      <c r="AW52">
        <f t="shared" si="18"/>
        <v>3.7408000000000001</v>
      </c>
      <c r="AX52" s="4">
        <f t="shared" si="7"/>
        <v>-2.3604576561163437E-2</v>
      </c>
      <c r="BC52" s="1">
        <f>Clean_Data!G51</f>
        <v>46157</v>
      </c>
      <c r="BD52">
        <f>Clean_Data!L51</f>
        <v>4.2488999999999999</v>
      </c>
      <c r="BE52" s="4">
        <f t="shared" si="19"/>
        <v>2.0754227494634847E-3</v>
      </c>
      <c r="BF52" s="4">
        <f t="shared" si="27"/>
        <v>4.8481695203859143E-3</v>
      </c>
      <c r="BG52" s="4">
        <f t="shared" si="8"/>
        <v>-1.292779240316011E-3</v>
      </c>
      <c r="BH52" s="4">
        <f t="shared" si="34"/>
        <v>3.0149393371602877E-2</v>
      </c>
      <c r="BI52">
        <f t="shared" si="20"/>
        <v>4.2893999999999997</v>
      </c>
      <c r="BJ52" s="4">
        <f t="shared" si="21"/>
        <v>-9.4418799832143296E-3</v>
      </c>
      <c r="BO52" s="1">
        <f>Clean_Data!G51</f>
        <v>46157</v>
      </c>
      <c r="BP52">
        <f>Clean_Data!M51</f>
        <v>546.22</v>
      </c>
      <c r="BQ52" s="4">
        <f t="shared" si="22"/>
        <v>-5.1362377968816597E-3</v>
      </c>
      <c r="BR52" s="4">
        <f t="shared" si="28"/>
        <v>-1.2813707005421282E-4</v>
      </c>
      <c r="BS52" s="4">
        <f t="shared" si="9"/>
        <v>9.6674615057579238E-3</v>
      </c>
      <c r="BT52" s="4">
        <f t="shared" si="35"/>
        <v>0.13253254497446071</v>
      </c>
      <c r="BU52">
        <f t="shared" si="23"/>
        <v>615.04999999999995</v>
      </c>
      <c r="BV52" s="4">
        <f t="shared" si="10"/>
        <v>-0.11190960084545964</v>
      </c>
      <c r="BW52" s="4"/>
    </row>
    <row r="53" spans="6:75" x14ac:dyDescent="0.25">
      <c r="F53" s="1">
        <f>Clean_Data!G52</f>
        <v>46160</v>
      </c>
      <c r="G53" t="str">
        <f>Clean_Data!H52</f>
        <v>3610.09</v>
      </c>
      <c r="H53" s="4">
        <f t="shared" si="11"/>
        <v>1.8251922219903127E-2</v>
      </c>
      <c r="I53" s="4">
        <f t="shared" si="24"/>
        <v>6.6223503627653724E-3</v>
      </c>
      <c r="J53" s="4">
        <f t="shared" si="0"/>
        <v>3.3864667338709742E-2</v>
      </c>
      <c r="K53" s="4">
        <f t="shared" si="30"/>
        <v>0.22217635892143731</v>
      </c>
      <c r="L53" t="str">
        <f t="shared" si="12"/>
        <v>3700.6</v>
      </c>
      <c r="M53" s="4">
        <f t="shared" si="1"/>
        <v>-2.4458195968221297E-2</v>
      </c>
      <c r="R53" s="1">
        <f>Clean_Data!G52</f>
        <v>46160</v>
      </c>
      <c r="S53" t="str">
        <f>Clean_Data!I52</f>
        <v>9215.6</v>
      </c>
      <c r="T53" s="4">
        <f t="shared" si="13"/>
        <v>8.3353210597609806E-3</v>
      </c>
      <c r="U53" s="4">
        <f t="shared" si="25"/>
        <v>8.8022252410733248E-3</v>
      </c>
      <c r="V53" s="4">
        <f t="shared" si="2"/>
        <v>1.9632314541897955E-2</v>
      </c>
      <c r="W53" s="4">
        <f t="shared" si="31"/>
        <v>0.1511553970107406</v>
      </c>
      <c r="X53" t="str">
        <f t="shared" si="14"/>
        <v>9307</v>
      </c>
      <c r="Y53" s="4">
        <f t="shared" si="3"/>
        <v>-9.8205651660040472E-3</v>
      </c>
      <c r="AE53" s="1">
        <f>Clean_Data!G52</f>
        <v>46160</v>
      </c>
      <c r="AF53" t="str">
        <f>Clean_Data!J52</f>
        <v>30801.75</v>
      </c>
      <c r="AG53" s="4">
        <f t="shared" si="15"/>
        <v>-1.6944217493641833E-4</v>
      </c>
      <c r="AH53" s="4">
        <f t="shared" si="29"/>
        <v>-7.1999698309080928E-3</v>
      </c>
      <c r="AI53" s="4">
        <f t="shared" si="4"/>
        <v>3.1656546016796128E-3</v>
      </c>
      <c r="AJ53" s="4">
        <f t="shared" si="32"/>
        <v>8.3961250980029628E-2</v>
      </c>
      <c r="AK53" t="str">
        <f t="shared" si="16"/>
        <v>31295.94</v>
      </c>
      <c r="AL53" s="4">
        <f t="shared" si="5"/>
        <v>-1.5790866163470363E-2</v>
      </c>
      <c r="AQ53" s="1">
        <f>Clean_Data!G52</f>
        <v>46160</v>
      </c>
      <c r="AR53">
        <f>Clean_Data!K52</f>
        <v>3.6450999999999998</v>
      </c>
      <c r="AS53" s="4">
        <f t="shared" si="17"/>
        <v>-2.0260095824777835E-3</v>
      </c>
      <c r="AT53" s="4">
        <f t="shared" si="26"/>
        <v>1.2330935651401198E-2</v>
      </c>
      <c r="AU53" s="4">
        <f t="shared" si="6"/>
        <v>4.076798060766329E-3</v>
      </c>
      <c r="AV53" s="4">
        <f t="shared" si="33"/>
        <v>7.2285236794675731E-2</v>
      </c>
      <c r="AW53">
        <f t="shared" si="18"/>
        <v>3.7408000000000001</v>
      </c>
      <c r="AX53" s="4">
        <f t="shared" si="7"/>
        <v>-2.5582763045338019E-2</v>
      </c>
      <c r="BC53" s="1">
        <f>Clean_Data!G52</f>
        <v>46160</v>
      </c>
      <c r="BD53">
        <f>Clean_Data!L52</f>
        <v>4.2434000000000003</v>
      </c>
      <c r="BE53" s="4">
        <f t="shared" si="19"/>
        <v>-1.2944526818705615E-3</v>
      </c>
      <c r="BF53" s="4">
        <f t="shared" si="27"/>
        <v>1.1324493936677449E-3</v>
      </c>
      <c r="BG53" s="4">
        <f t="shared" si="8"/>
        <v>-2.5855584806317999E-3</v>
      </c>
      <c r="BH53" s="4">
        <f t="shared" si="34"/>
        <v>3.0133382078279106E-2</v>
      </c>
      <c r="BI53">
        <f t="shared" si="20"/>
        <v>4.2893999999999997</v>
      </c>
      <c r="BJ53" s="4">
        <f t="shared" si="21"/>
        <v>-1.0724110598218761E-2</v>
      </c>
      <c r="BO53" s="1">
        <f>Clean_Data!G52</f>
        <v>46160</v>
      </c>
      <c r="BP53">
        <f>Clean_Data!M52</f>
        <v>534.69000000000005</v>
      </c>
      <c r="BQ53" s="4">
        <f t="shared" si="22"/>
        <v>-2.1108710775877837E-2</v>
      </c>
      <c r="BR53" s="4">
        <f t="shared" si="28"/>
        <v>-1.8773397929971236E-2</v>
      </c>
      <c r="BS53" s="4">
        <f t="shared" si="9"/>
        <v>-1.1645316918981741E-2</v>
      </c>
      <c r="BT53" s="4">
        <f t="shared" si="35"/>
        <v>0.15051180474672993</v>
      </c>
      <c r="BU53">
        <f t="shared" si="23"/>
        <v>615.04999999999995</v>
      </c>
      <c r="BV53" s="4">
        <f t="shared" si="10"/>
        <v>-0.13065604422404664</v>
      </c>
      <c r="BW53" s="4"/>
    </row>
    <row r="54" spans="6:75" x14ac:dyDescent="0.25">
      <c r="F54" s="1">
        <f>Clean_Data!G53</f>
        <v>46161</v>
      </c>
      <c r="G54" t="str">
        <f>Clean_Data!H53</f>
        <v>3552.49</v>
      </c>
      <c r="H54" s="4">
        <f t="shared" si="11"/>
        <v>-1.5955280893274248E-2</v>
      </c>
      <c r="I54" s="4">
        <f t="shared" si="24"/>
        <v>9.5771557836641374E-3</v>
      </c>
      <c r="J54" s="4">
        <f t="shared" si="0"/>
        <v>1.7369066165689118E-2</v>
      </c>
      <c r="K54" s="4">
        <f t="shared" si="30"/>
        <v>0.22671036464801916</v>
      </c>
      <c r="L54" t="str">
        <f t="shared" si="12"/>
        <v>3700.6</v>
      </c>
      <c r="M54" s="4">
        <f t="shared" si="1"/>
        <v>-4.0023239474679784E-2</v>
      </c>
      <c r="R54" s="1">
        <f>Clean_Data!G53</f>
        <v>46161</v>
      </c>
      <c r="S54" t="str">
        <f>Clean_Data!I53</f>
        <v>9194.82</v>
      </c>
      <c r="T54" s="4">
        <f t="shared" si="13"/>
        <v>-2.2548721732714716E-3</v>
      </c>
      <c r="U54" s="4">
        <f t="shared" si="25"/>
        <v>1.7773473171541543E-2</v>
      </c>
      <c r="V54" s="4">
        <f t="shared" si="2"/>
        <v>1.7333174008869134E-2</v>
      </c>
      <c r="W54" s="4">
        <f t="shared" si="31"/>
        <v>0.14925364607473526</v>
      </c>
      <c r="X54" t="str">
        <f t="shared" si="14"/>
        <v>9307</v>
      </c>
      <c r="Y54" s="4">
        <f t="shared" si="3"/>
        <v>-1.2053293220156913E-2</v>
      </c>
      <c r="AE54" s="1">
        <f>Clean_Data!G53</f>
        <v>46161</v>
      </c>
      <c r="AF54" t="str">
        <f>Clean_Data!J53</f>
        <v>30813.18</v>
      </c>
      <c r="AG54" s="4">
        <f t="shared" si="15"/>
        <v>3.7108281185327385E-4</v>
      </c>
      <c r="AH54" s="4">
        <f t="shared" si="29"/>
        <v>2.956479566179171E-3</v>
      </c>
      <c r="AI54" s="4">
        <f t="shared" si="4"/>
        <v>3.537912133543708E-3</v>
      </c>
      <c r="AJ54" s="4">
        <f t="shared" si="32"/>
        <v>8.3926670109511742E-2</v>
      </c>
      <c r="AK54" t="str">
        <f t="shared" si="16"/>
        <v>31295.94</v>
      </c>
      <c r="AL54" s="4">
        <f t="shared" si="5"/>
        <v>-1.5425643070634654E-2</v>
      </c>
      <c r="AQ54" s="1">
        <f>Clean_Data!G53</f>
        <v>46161</v>
      </c>
      <c r="AR54">
        <f>Clean_Data!K53</f>
        <v>3.6467000000000001</v>
      </c>
      <c r="AS54" s="4">
        <f t="shared" si="17"/>
        <v>4.389454335957943E-4</v>
      </c>
      <c r="AT54" s="4">
        <f t="shared" si="26"/>
        <v>8.2948544253049761E-3</v>
      </c>
      <c r="AU54" s="4">
        <f t="shared" si="6"/>
        <v>4.5175329862545688E-3</v>
      </c>
      <c r="AV54" s="4">
        <f t="shared" si="33"/>
        <v>7.1963668283870214E-2</v>
      </c>
      <c r="AW54">
        <f t="shared" si="18"/>
        <v>3.7408000000000001</v>
      </c>
      <c r="AX54" s="4">
        <f t="shared" si="7"/>
        <v>-2.5155047048759593E-2</v>
      </c>
      <c r="BC54" s="1">
        <f>Clean_Data!G53</f>
        <v>46161</v>
      </c>
      <c r="BD54">
        <f>Clean_Data!L53</f>
        <v>4.2389000000000001</v>
      </c>
      <c r="BE54" s="4">
        <f t="shared" si="19"/>
        <v>-1.0604703775275448E-3</v>
      </c>
      <c r="BF54" s="4">
        <f t="shared" si="27"/>
        <v>-2.0952022223267308E-3</v>
      </c>
      <c r="BG54" s="4">
        <f t="shared" si="8"/>
        <v>-3.6432869499812837E-3</v>
      </c>
      <c r="BH54" s="4">
        <f t="shared" si="34"/>
        <v>3.0397288515624281E-2</v>
      </c>
      <c r="BI54">
        <f t="shared" si="20"/>
        <v>4.2893999999999997</v>
      </c>
      <c r="BJ54" s="4">
        <f t="shared" si="21"/>
        <v>-1.1773208374131428E-2</v>
      </c>
      <c r="BO54" s="1">
        <f>Clean_Data!G53</f>
        <v>46161</v>
      </c>
      <c r="BP54">
        <f>Clean_Data!M53</f>
        <v>533.1</v>
      </c>
      <c r="BQ54" s="4">
        <f t="shared" si="22"/>
        <v>-2.9736856870337114E-3</v>
      </c>
      <c r="BR54" s="4">
        <f t="shared" si="28"/>
        <v>-1.3234613604812595E-2</v>
      </c>
      <c r="BS54" s="4">
        <f t="shared" si="9"/>
        <v>-1.4584373093772474E-2</v>
      </c>
      <c r="BT54" s="4">
        <f t="shared" si="35"/>
        <v>0.14994887988805289</v>
      </c>
      <c r="BU54">
        <f t="shared" si="23"/>
        <v>615.04999999999995</v>
      </c>
      <c r="BV54" s="4">
        <f t="shared" si="10"/>
        <v>-0.13324119990244687</v>
      </c>
      <c r="BW54" s="4"/>
    </row>
    <row r="55" spans="6:75" x14ac:dyDescent="0.25">
      <c r="F55" s="1">
        <f>Clean_Data!G54</f>
        <v>46162</v>
      </c>
      <c r="G55" t="str">
        <f>Clean_Data!H54</f>
        <v>3610.7</v>
      </c>
      <c r="H55" s="4">
        <f t="shared" si="11"/>
        <v>1.6385690037128864E-2</v>
      </c>
      <c r="I55" s="4">
        <f t="shared" si="24"/>
        <v>5.10527898094848E-3</v>
      </c>
      <c r="J55" s="4">
        <f t="shared" si="0"/>
        <v>3.4039360337243307E-2</v>
      </c>
      <c r="K55" s="4">
        <f t="shared" si="30"/>
        <v>0.23411345224238045</v>
      </c>
      <c r="L55" t="str">
        <f t="shared" si="12"/>
        <v>3700.6</v>
      </c>
      <c r="M55" s="4">
        <f t="shared" si="1"/>
        <v>-2.429335783386477E-2</v>
      </c>
      <c r="R55" s="1">
        <f>Clean_Data!G54</f>
        <v>46162</v>
      </c>
      <c r="S55" t="str">
        <f>Clean_Data!I54</f>
        <v>9310.07</v>
      </c>
      <c r="T55" s="4">
        <f t="shared" si="13"/>
        <v>1.2534231230192594E-2</v>
      </c>
      <c r="U55" s="4">
        <f t="shared" si="25"/>
        <v>2.8329093762805568E-2</v>
      </c>
      <c r="V55" s="4">
        <f t="shared" si="2"/>
        <v>3.0084663250041999E-2</v>
      </c>
      <c r="W55" s="4">
        <f t="shared" si="31"/>
        <v>0.14875033095138118</v>
      </c>
      <c r="X55" t="str">
        <f t="shared" si="14"/>
        <v>9310.07</v>
      </c>
      <c r="Y55" s="4">
        <f t="shared" si="3"/>
        <v>0</v>
      </c>
      <c r="AE55" s="1">
        <f>Clean_Data!G54</f>
        <v>46162</v>
      </c>
      <c r="AF55" t="str">
        <f>Clean_Data!J54</f>
        <v>31093.85</v>
      </c>
      <c r="AG55" s="4">
        <f t="shared" si="15"/>
        <v>9.1087644962317693E-3</v>
      </c>
      <c r="AH55" s="4">
        <f t="shared" si="29"/>
        <v>8.4339264054382745E-3</v>
      </c>
      <c r="AI55" s="4">
        <f t="shared" si="4"/>
        <v>1.2678902638208367E-2</v>
      </c>
      <c r="AJ55" s="4">
        <f t="shared" si="32"/>
        <v>9.0005810018993965E-2</v>
      </c>
      <c r="AK55" t="str">
        <f t="shared" si="16"/>
        <v>31295.94</v>
      </c>
      <c r="AL55" s="4">
        <f t="shared" si="5"/>
        <v>-6.4573871243363001E-3</v>
      </c>
      <c r="AQ55" s="1">
        <f>Clean_Data!G54</f>
        <v>46162</v>
      </c>
      <c r="AR55">
        <f>Clean_Data!K54</f>
        <v>3.6709000000000001</v>
      </c>
      <c r="AS55" s="4">
        <f t="shared" si="17"/>
        <v>6.6361367811993421E-3</v>
      </c>
      <c r="AT55" s="4">
        <f t="shared" si="26"/>
        <v>1.0265301629238222E-2</v>
      </c>
      <c r="AU55" s="4">
        <f t="shared" si="6"/>
        <v>1.1183648734264473E-2</v>
      </c>
      <c r="AV55" s="4">
        <f t="shared" si="33"/>
        <v>7.4707865901250836E-2</v>
      </c>
      <c r="AW55">
        <f t="shared" si="18"/>
        <v>3.7408000000000001</v>
      </c>
      <c r="AX55" s="4">
        <f t="shared" si="7"/>
        <v>-1.8685842600513314E-2</v>
      </c>
      <c r="BC55" s="1">
        <f>Clean_Data!G54</f>
        <v>46162</v>
      </c>
      <c r="BD55">
        <f>Clean_Data!L54</f>
        <v>4.2545999999999999</v>
      </c>
      <c r="BE55" s="4">
        <f t="shared" si="19"/>
        <v>3.7037910778738858E-3</v>
      </c>
      <c r="BF55" s="4">
        <f t="shared" si="27"/>
        <v>5.173549054651172E-4</v>
      </c>
      <c r="BG55" s="4">
        <f t="shared" si="8"/>
        <v>4.7010154193172227E-5</v>
      </c>
      <c r="BH55" s="4">
        <f t="shared" si="34"/>
        <v>3.290234998531516E-2</v>
      </c>
      <c r="BI55">
        <f t="shared" si="20"/>
        <v>4.2893999999999997</v>
      </c>
      <c r="BJ55" s="4">
        <f t="shared" si="21"/>
        <v>-8.1130228003916116E-3</v>
      </c>
      <c r="BO55" s="1">
        <f>Clean_Data!G54</f>
        <v>46162</v>
      </c>
      <c r="BP55">
        <f>Clean_Data!M54</f>
        <v>532.49</v>
      </c>
      <c r="BQ55" s="4">
        <f t="shared" si="22"/>
        <v>-1.1442506096417393E-3</v>
      </c>
      <c r="BR55" s="4">
        <f t="shared" si="28"/>
        <v>-2.6188255518370118E-2</v>
      </c>
      <c r="BS55" s="4">
        <f t="shared" si="9"/>
        <v>-1.5711935525610454E-2</v>
      </c>
      <c r="BT55" s="4">
        <f t="shared" si="35"/>
        <v>0.14906926778081617</v>
      </c>
      <c r="BU55">
        <f t="shared" si="23"/>
        <v>615.04999999999995</v>
      </c>
      <c r="BV55" s="4">
        <f t="shared" si="10"/>
        <v>-0.13423298918787085</v>
      </c>
      <c r="BW55" s="4"/>
    </row>
    <row r="56" spans="6:75" x14ac:dyDescent="0.25">
      <c r="F56" s="1">
        <f>Clean_Data!G55</f>
        <v>46163</v>
      </c>
      <c r="G56" t="str">
        <f>Clean_Data!H55</f>
        <v>3590</v>
      </c>
      <c r="H56" s="4">
        <f t="shared" si="11"/>
        <v>-5.732960367795692E-3</v>
      </c>
      <c r="I56" s="4">
        <f t="shared" si="24"/>
        <v>-1.1444117679454524E-2</v>
      </c>
      <c r="J56" s="4">
        <f t="shared" si="0"/>
        <v>2.8111253665689118E-2</v>
      </c>
      <c r="K56" s="4">
        <f t="shared" si="30"/>
        <v>0.23380363902700166</v>
      </c>
      <c r="L56" t="str">
        <f t="shared" si="12"/>
        <v>3700.6</v>
      </c>
      <c r="M56" s="4">
        <f t="shared" si="1"/>
        <v>-2.988704534399822E-2</v>
      </c>
      <c r="R56" s="1">
        <f>Clean_Data!G55</f>
        <v>46163</v>
      </c>
      <c r="S56" t="str">
        <f>Clean_Data!I55</f>
        <v>9367.04</v>
      </c>
      <c r="T56" s="4">
        <f t="shared" si="13"/>
        <v>6.1191806291467365E-3</v>
      </c>
      <c r="U56" s="4">
        <f t="shared" si="25"/>
        <v>1.9948082719211113E-2</v>
      </c>
      <c r="V56" s="4">
        <f t="shared" si="2"/>
        <v>3.6387937367782897E-2</v>
      </c>
      <c r="W56" s="4">
        <f t="shared" si="31"/>
        <v>0.14982997135140957</v>
      </c>
      <c r="X56" t="str">
        <f t="shared" si="14"/>
        <v>9367.04</v>
      </c>
      <c r="Y56" s="4">
        <f t="shared" si="3"/>
        <v>0</v>
      </c>
      <c r="AE56" s="1">
        <f>Clean_Data!G55</f>
        <v>46163</v>
      </c>
      <c r="AF56" t="str">
        <f>Clean_Data!J55</f>
        <v>31245.82</v>
      </c>
      <c r="AG56" s="4">
        <f t="shared" si="15"/>
        <v>4.8874616684650984E-3</v>
      </c>
      <c r="AH56" s="4">
        <f t="shared" si="29"/>
        <v>1.1242966066560722E-2</v>
      </c>
      <c r="AI56" s="4">
        <f t="shared" si="4"/>
        <v>1.7628331957315835E-2</v>
      </c>
      <c r="AJ56" s="4">
        <f t="shared" si="32"/>
        <v>9.1880586893371044E-2</v>
      </c>
      <c r="AK56" t="str">
        <f t="shared" si="16"/>
        <v>31295.94</v>
      </c>
      <c r="AL56" s="4">
        <f t="shared" si="5"/>
        <v>-1.6014856879198458E-3</v>
      </c>
      <c r="AQ56" s="1">
        <f>Clean_Data!G55</f>
        <v>46163</v>
      </c>
      <c r="AR56">
        <f>Clean_Data!K55</f>
        <v>3.6528999999999998</v>
      </c>
      <c r="AS56" s="4">
        <f t="shared" si="17"/>
        <v>-4.9034296766461427E-3</v>
      </c>
      <c r="AT56" s="4">
        <f t="shared" si="26"/>
        <v>8.9490401878193904E-3</v>
      </c>
      <c r="AU56" s="4">
        <f t="shared" si="6"/>
        <v>6.2253808225214424E-3</v>
      </c>
      <c r="AV56" s="4">
        <f t="shared" si="33"/>
        <v>7.7143802038108819E-2</v>
      </c>
      <c r="AW56">
        <f t="shared" si="18"/>
        <v>3.7408000000000001</v>
      </c>
      <c r="AX56" s="4">
        <f t="shared" si="7"/>
        <v>-2.3497647562018886E-2</v>
      </c>
      <c r="BC56" s="1">
        <f>Clean_Data!G55</f>
        <v>46163</v>
      </c>
      <c r="BD56">
        <f>Clean_Data!L55</f>
        <v>4.2460000000000004</v>
      </c>
      <c r="BE56" s="4">
        <f t="shared" si="19"/>
        <v>-2.0213416067313972E-3</v>
      </c>
      <c r="BF56" s="4">
        <f t="shared" si="27"/>
        <v>1.391476616117604E-3</v>
      </c>
      <c r="BG56" s="4">
        <f t="shared" si="8"/>
        <v>-1.9744264761187846E-3</v>
      </c>
      <c r="BH56" s="4">
        <f t="shared" si="34"/>
        <v>3.3127770299963104E-2</v>
      </c>
      <c r="BI56">
        <f t="shared" si="20"/>
        <v>4.2893999999999997</v>
      </c>
      <c r="BJ56" s="4">
        <f t="shared" si="21"/>
        <v>-1.011796521658026E-2</v>
      </c>
      <c r="BO56" s="1">
        <f>Clean_Data!G55</f>
        <v>46163</v>
      </c>
      <c r="BP56">
        <f>Clean_Data!M55</f>
        <v>529.09</v>
      </c>
      <c r="BQ56" s="4">
        <f t="shared" si="22"/>
        <v>-6.3850964337357485E-3</v>
      </c>
      <c r="BR56" s="4">
        <f t="shared" si="28"/>
        <v>-3.6336150371557463E-2</v>
      </c>
      <c r="BS56" s="4">
        <f t="shared" si="9"/>
        <v>-2.1996709735854547E-2</v>
      </c>
      <c r="BT56" s="4">
        <f t="shared" si="35"/>
        <v>0.14983916444222947</v>
      </c>
      <c r="BU56">
        <f t="shared" si="23"/>
        <v>615.04999999999995</v>
      </c>
      <c r="BV56" s="4">
        <f t="shared" si="10"/>
        <v>-0.13976099504105344</v>
      </c>
      <c r="BW56" s="4"/>
    </row>
    <row r="57" spans="6:75" x14ac:dyDescent="0.25">
      <c r="F57" s="1">
        <f>Clean_Data!G56</f>
        <v>46164</v>
      </c>
      <c r="G57" t="str">
        <f>Clean_Data!H56</f>
        <v>3641.19</v>
      </c>
      <c r="H57" s="4">
        <f t="shared" si="11"/>
        <v>1.4259052924791016E-2</v>
      </c>
      <c r="I57" s="4">
        <f t="shared" si="24"/>
        <v>2.7023901528185901E-2</v>
      </c>
      <c r="J57" s="4">
        <f t="shared" si="0"/>
        <v>4.2771146444281483E-2</v>
      </c>
      <c r="K57" s="4">
        <f t="shared" si="30"/>
        <v>0.23610480414609297</v>
      </c>
      <c r="L57" t="str">
        <f t="shared" si="12"/>
        <v>3700.6</v>
      </c>
      <c r="M57" s="4">
        <f t="shared" si="1"/>
        <v>-1.6054153380532843E-2</v>
      </c>
      <c r="R57" s="1">
        <f>Clean_Data!G56</f>
        <v>46164</v>
      </c>
      <c r="S57" t="str">
        <f>Clean_Data!I56</f>
        <v>9480.13</v>
      </c>
      <c r="T57" s="4">
        <f t="shared" si="13"/>
        <v>1.2073184271658821E-2</v>
      </c>
      <c r="U57" s="4">
        <f t="shared" si="25"/>
        <v>3.727917088830579E-2</v>
      </c>
      <c r="V57" s="4">
        <f t="shared" si="2"/>
        <v>4.8900439912548554E-2</v>
      </c>
      <c r="W57" s="4">
        <f t="shared" si="31"/>
        <v>0.1470386340164721</v>
      </c>
      <c r="X57" t="str">
        <f t="shared" si="14"/>
        <v>9480.13</v>
      </c>
      <c r="Y57" s="4">
        <f t="shared" si="3"/>
        <v>0</v>
      </c>
      <c r="AE57" s="1">
        <f>Clean_Data!G56</f>
        <v>46164</v>
      </c>
      <c r="AF57" t="str">
        <f>Clean_Data!J56</f>
        <v>31636.6</v>
      </c>
      <c r="AG57" s="4">
        <f t="shared" si="15"/>
        <v>1.2506632887214986E-2</v>
      </c>
      <c r="AH57" s="4">
        <f t="shared" si="29"/>
        <v>2.6929944749515933E-2</v>
      </c>
      <c r="AI57" s="4">
        <f t="shared" si="4"/>
        <v>3.0355435920734752E-2</v>
      </c>
      <c r="AJ57" s="4">
        <f t="shared" si="32"/>
        <v>0.10163265033521102</v>
      </c>
      <c r="AK57" t="str">
        <f t="shared" si="16"/>
        <v>31636.6</v>
      </c>
      <c r="AL57" s="4">
        <f t="shared" si="5"/>
        <v>0</v>
      </c>
      <c r="AQ57" s="1">
        <f>Clean_Data!G56</f>
        <v>46164</v>
      </c>
      <c r="AR57">
        <f>Clean_Data!K56</f>
        <v>3.6570999999999998</v>
      </c>
      <c r="AS57" s="4">
        <f t="shared" si="17"/>
        <v>1.149771414492573E-3</v>
      </c>
      <c r="AT57" s="4">
        <f t="shared" si="26"/>
        <v>1.2594113620807423E-3</v>
      </c>
      <c r="AU57" s="4">
        <f t="shared" si="6"/>
        <v>7.3823100019281274E-3</v>
      </c>
      <c r="AV57" s="4">
        <f t="shared" si="33"/>
        <v>7.3817622976045966E-2</v>
      </c>
      <c r="AW57">
        <f t="shared" si="18"/>
        <v>3.7408000000000001</v>
      </c>
      <c r="AX57" s="4">
        <f t="shared" si="7"/>
        <v>-2.2374893071000934E-2</v>
      </c>
      <c r="BC57" s="1">
        <f>Clean_Data!G56</f>
        <v>46164</v>
      </c>
      <c r="BD57">
        <f>Clean_Data!L56</f>
        <v>4.2453000000000003</v>
      </c>
      <c r="BE57" s="4">
        <f t="shared" si="19"/>
        <v>-1.6486104569013449E-4</v>
      </c>
      <c r="BF57" s="4">
        <f t="shared" si="27"/>
        <v>-8.4727811904250494E-4</v>
      </c>
      <c r="BG57" s="4">
        <f t="shared" si="8"/>
        <v>-2.1389620157954425E-3</v>
      </c>
      <c r="BH57" s="4">
        <f t="shared" si="34"/>
        <v>3.216053242154239E-2</v>
      </c>
      <c r="BI57">
        <f t="shared" si="20"/>
        <v>4.2893999999999997</v>
      </c>
      <c r="BJ57" s="4">
        <f t="shared" si="21"/>
        <v>-1.0281158203944485E-2</v>
      </c>
      <c r="BO57" s="1">
        <f>Clean_Data!G56</f>
        <v>46164</v>
      </c>
      <c r="BP57">
        <f>Clean_Data!M56</f>
        <v>532.19000000000005</v>
      </c>
      <c r="BQ57" s="4">
        <f t="shared" si="22"/>
        <v>5.8591165964203551E-3</v>
      </c>
      <c r="BR57" s="4">
        <f t="shared" si="28"/>
        <v>-2.5685621178279772E-2</v>
      </c>
      <c r="BS57" s="4">
        <f t="shared" si="9"/>
        <v>-1.6266474426514299E-2</v>
      </c>
      <c r="BT57" s="4">
        <f t="shared" si="35"/>
        <v>0.15248932164256429</v>
      </c>
      <c r="BU57">
        <f t="shared" si="23"/>
        <v>615.04999999999995</v>
      </c>
      <c r="BV57" s="4">
        <f t="shared" si="10"/>
        <v>-0.13472075441021036</v>
      </c>
      <c r="BW57" s="4"/>
    </row>
    <row r="58" spans="6:75" x14ac:dyDescent="0.25">
      <c r="F58" s="1">
        <f>Clean_Data!G57</f>
        <v>46167</v>
      </c>
      <c r="G58" t="str">
        <f>Clean_Data!H57</f>
        <v>3719.68</v>
      </c>
      <c r="H58" s="4">
        <f t="shared" si="11"/>
        <v>2.1556139613697622E-2</v>
      </c>
      <c r="I58" s="4">
        <f t="shared" si="24"/>
        <v>3.0356583907880319E-2</v>
      </c>
      <c r="J58" s="4">
        <f t="shared" si="0"/>
        <v>6.524926686217003E-2</v>
      </c>
      <c r="K58" s="4">
        <f t="shared" si="30"/>
        <v>0.24533798324655273</v>
      </c>
      <c r="L58" t="str">
        <f t="shared" si="12"/>
        <v>3719.68</v>
      </c>
      <c r="M58" s="4">
        <f t="shared" si="1"/>
        <v>0</v>
      </c>
      <c r="R58" s="1">
        <f>Clean_Data!G57</f>
        <v>46167</v>
      </c>
      <c r="S58" t="str">
        <f>Clean_Data!I57</f>
        <v>9662.54</v>
      </c>
      <c r="T58" s="4">
        <f t="shared" si="13"/>
        <v>1.9241297323981943E-2</v>
      </c>
      <c r="U58" s="4">
        <f t="shared" si="25"/>
        <v>4.8498198706541151E-2</v>
      </c>
      <c r="V58" s="4">
        <f t="shared" si="2"/>
        <v>6.9082645140161381E-2</v>
      </c>
      <c r="W58" s="4">
        <f t="shared" si="31"/>
        <v>0.15594995214887486</v>
      </c>
      <c r="X58" t="str">
        <f t="shared" si="14"/>
        <v>9662.54</v>
      </c>
      <c r="Y58" s="4">
        <f t="shared" si="3"/>
        <v>0</v>
      </c>
      <c r="AE58" s="1">
        <f>Clean_Data!G57</f>
        <v>46167</v>
      </c>
      <c r="AF58" t="str">
        <f>Clean_Data!J57</f>
        <v>31895.62</v>
      </c>
      <c r="AG58" s="4">
        <f t="shared" si="15"/>
        <v>8.1873526232274507E-3</v>
      </c>
      <c r="AH58" s="4">
        <f t="shared" si="29"/>
        <v>3.5513241942422002E-2</v>
      </c>
      <c r="AI58" s="4">
        <f t="shared" si="4"/>
        <v>3.8791319201877172E-2</v>
      </c>
      <c r="AJ58" s="4">
        <f t="shared" si="32"/>
        <v>0.10307198585602578</v>
      </c>
      <c r="AK58" t="str">
        <f t="shared" si="16"/>
        <v>31895.62</v>
      </c>
      <c r="AL58" s="4">
        <f t="shared" si="5"/>
        <v>0</v>
      </c>
      <c r="AQ58" s="1">
        <f>Clean_Data!G57</f>
        <v>46167</v>
      </c>
      <c r="AR58">
        <f>Clean_Data!K57</f>
        <v>3.6374</v>
      </c>
      <c r="AS58" s="4">
        <f t="shared" si="17"/>
        <v>-5.3867818763501107E-3</v>
      </c>
      <c r="AT58" s="4">
        <f t="shared" si="26"/>
        <v>-2.1124248991796213E-3</v>
      </c>
      <c r="AU58" s="4">
        <f t="shared" si="6"/>
        <v>1.9557612318541473E-3</v>
      </c>
      <c r="AV58" s="4">
        <f t="shared" si="33"/>
        <v>7.6523165811789445E-2</v>
      </c>
      <c r="AW58">
        <f t="shared" si="18"/>
        <v>3.7408000000000001</v>
      </c>
      <c r="AX58" s="4">
        <f t="shared" si="7"/>
        <v>-2.7641146278870821E-2</v>
      </c>
      <c r="BC58" s="1">
        <f>Clean_Data!G57</f>
        <v>46167</v>
      </c>
      <c r="BD58">
        <f>Clean_Data!L57</f>
        <v>4.2351999999999999</v>
      </c>
      <c r="BE58" s="4">
        <f t="shared" si="19"/>
        <v>-2.379101594704891E-3</v>
      </c>
      <c r="BF58" s="4">
        <f t="shared" si="27"/>
        <v>-1.932412687938978E-3</v>
      </c>
      <c r="BG58" s="4">
        <f t="shared" si="8"/>
        <v>-4.5129748025575234E-3</v>
      </c>
      <c r="BH58" s="4">
        <f t="shared" si="34"/>
        <v>3.2695489105434176E-2</v>
      </c>
      <c r="BI58">
        <f t="shared" si="20"/>
        <v>4.2893999999999997</v>
      </c>
      <c r="BJ58" s="4">
        <f t="shared" si="21"/>
        <v>-1.2635799878770837E-2</v>
      </c>
      <c r="BO58" s="1">
        <f>Clean_Data!G57</f>
        <v>46167</v>
      </c>
      <c r="BP58">
        <f>Clean_Data!M57</f>
        <v>531.55999999999995</v>
      </c>
      <c r="BQ58" s="4">
        <f t="shared" si="22"/>
        <v>-1.183787744978515E-3</v>
      </c>
      <c r="BR58" s="4">
        <f t="shared" si="28"/>
        <v>-5.8538592455443794E-3</v>
      </c>
      <c r="BS58" s="4">
        <f t="shared" si="9"/>
        <v>-1.743100611841264E-2</v>
      </c>
      <c r="BT58" s="4">
        <f t="shared" si="35"/>
        <v>0.15209661404583177</v>
      </c>
      <c r="BU58">
        <f t="shared" si="23"/>
        <v>615.04999999999995</v>
      </c>
      <c r="BV58" s="4">
        <f t="shared" si="10"/>
        <v>-0.13574506137712383</v>
      </c>
      <c r="BW58" s="4"/>
    </row>
    <row r="59" spans="6:75" x14ac:dyDescent="0.25">
      <c r="F59" s="1">
        <f>Clean_Data!G58</f>
        <v>46168</v>
      </c>
      <c r="G59" t="str">
        <f>Clean_Data!H58</f>
        <v>3682.07</v>
      </c>
      <c r="H59" s="4">
        <f t="shared" si="11"/>
        <v>-1.011108482450096E-2</v>
      </c>
      <c r="I59" s="4">
        <f t="shared" si="24"/>
        <v>3.6475823999504664E-2</v>
      </c>
      <c r="J59" s="4">
        <f t="shared" si="0"/>
        <v>5.4478441165689118E-2</v>
      </c>
      <c r="K59" s="4">
        <f t="shared" si="30"/>
        <v>0.24669911386118351</v>
      </c>
      <c r="L59" t="str">
        <f t="shared" si="12"/>
        <v>3719.68</v>
      </c>
      <c r="M59" s="4">
        <f t="shared" si="1"/>
        <v>-1.011108482450096E-2</v>
      </c>
      <c r="R59" s="1">
        <f>Clean_Data!G58</f>
        <v>46168</v>
      </c>
      <c r="S59" t="str">
        <f>Clean_Data!I58</f>
        <v>9608.16</v>
      </c>
      <c r="T59" s="4">
        <f t="shared" si="13"/>
        <v>-5.6279197809272485E-3</v>
      </c>
      <c r="U59" s="4">
        <f t="shared" si="25"/>
        <v>4.4953571684926974E-2</v>
      </c>
      <c r="V59" s="4">
        <f t="shared" si="2"/>
        <v>6.3065933774131056E-2</v>
      </c>
      <c r="W59" s="4">
        <f t="shared" si="31"/>
        <v>0.15710578158639768</v>
      </c>
      <c r="X59" t="str">
        <f t="shared" si="14"/>
        <v>9662.54</v>
      </c>
      <c r="Y59" s="4">
        <f t="shared" si="3"/>
        <v>-5.6279197809272485E-3</v>
      </c>
      <c r="AE59" s="1">
        <f>Clean_Data!G58</f>
        <v>46168</v>
      </c>
      <c r="AF59" t="str">
        <f>Clean_Data!J58</f>
        <v>31908.66</v>
      </c>
      <c r="AG59" s="4">
        <f t="shared" si="15"/>
        <v>4.0883356398158099E-4</v>
      </c>
      <c r="AH59" s="4">
        <f t="shared" si="29"/>
        <v>3.555231884537724E-2</v>
      </c>
      <c r="AI59" s="4">
        <f t="shared" si="4"/>
        <v>3.9216011959139596E-2</v>
      </c>
      <c r="AJ59" s="4">
        <f t="shared" si="32"/>
        <v>0.1029259287686393</v>
      </c>
      <c r="AK59" t="str">
        <f t="shared" si="16"/>
        <v>31908.66</v>
      </c>
      <c r="AL59" s="4">
        <f t="shared" si="5"/>
        <v>0</v>
      </c>
      <c r="AQ59" s="1">
        <f>Clean_Data!G58</f>
        <v>46168</v>
      </c>
      <c r="AR59">
        <f>Clean_Data!K58</f>
        <v>3.6394000000000002</v>
      </c>
      <c r="AS59" s="4">
        <f t="shared" si="17"/>
        <v>5.4984329466112314E-4</v>
      </c>
      <c r="AT59" s="4">
        <f t="shared" si="26"/>
        <v>-2.0018098554857033E-3</v>
      </c>
      <c r="AU59" s="4">
        <f t="shared" si="6"/>
        <v>2.506679888714558E-3</v>
      </c>
      <c r="AV59" s="4">
        <f t="shared" si="33"/>
        <v>7.4536371618585492E-2</v>
      </c>
      <c r="AW59">
        <f t="shared" si="18"/>
        <v>3.7408000000000001</v>
      </c>
      <c r="AX59" s="4">
        <f t="shared" si="7"/>
        <v>-2.7106501283147955E-2</v>
      </c>
      <c r="BC59" s="1">
        <f>Clean_Data!G58</f>
        <v>46168</v>
      </c>
      <c r="BD59">
        <f>Clean_Data!L58</f>
        <v>4.2351999999999999</v>
      </c>
      <c r="BE59" s="4">
        <f t="shared" si="19"/>
        <v>0</v>
      </c>
      <c r="BF59" s="4">
        <f t="shared" si="27"/>
        <v>-8.7286796102770126E-4</v>
      </c>
      <c r="BG59" s="4">
        <f t="shared" si="8"/>
        <v>-4.5129748025575234E-3</v>
      </c>
      <c r="BH59" s="4">
        <f t="shared" si="34"/>
        <v>3.2647020004630219E-2</v>
      </c>
      <c r="BI59">
        <f t="shared" si="20"/>
        <v>4.2893999999999997</v>
      </c>
      <c r="BJ59" s="4">
        <f t="shared" si="21"/>
        <v>-1.2635799878770837E-2</v>
      </c>
      <c r="BO59" s="1">
        <f>Clean_Data!G58</f>
        <v>46168</v>
      </c>
      <c r="BP59">
        <f>Clean_Data!M58</f>
        <v>532.66</v>
      </c>
      <c r="BQ59" s="4">
        <f t="shared" si="22"/>
        <v>2.0693806907969847E-3</v>
      </c>
      <c r="BR59" s="4">
        <f t="shared" si="28"/>
        <v>-8.2536109547937109E-4</v>
      </c>
      <c r="BS59" s="4">
        <f t="shared" si="9"/>
        <v>-1.5397696815098283E-2</v>
      </c>
      <c r="BT59" s="4">
        <f t="shared" si="35"/>
        <v>0.15247046444674126</v>
      </c>
      <c r="BU59">
        <f t="shared" si="23"/>
        <v>615.04999999999995</v>
      </c>
      <c r="BV59" s="4">
        <f t="shared" si="10"/>
        <v>-0.13395658889521178</v>
      </c>
      <c r="BW59" s="4"/>
    </row>
    <row r="60" spans="6:75" x14ac:dyDescent="0.25">
      <c r="F60" s="1">
        <f>Clean_Data!G59</f>
        <v>46169</v>
      </c>
      <c r="G60" t="str">
        <f>Clean_Data!H59</f>
        <v>3671.65</v>
      </c>
      <c r="H60" s="4">
        <f t="shared" si="11"/>
        <v>-2.8299299035596803E-3</v>
      </c>
      <c r="I60" s="4">
        <f t="shared" si="24"/>
        <v>1.6880383305176272E-2</v>
      </c>
      <c r="J60" s="4">
        <f t="shared" si="0"/>
        <v>5.1494341092375384E-2</v>
      </c>
      <c r="K60" s="4">
        <f t="shared" si="30"/>
        <v>0.24474552945876976</v>
      </c>
      <c r="L60" t="str">
        <f t="shared" si="12"/>
        <v>3719.68</v>
      </c>
      <c r="M60" s="4">
        <f t="shared" si="1"/>
        <v>-1.2912401066758394E-2</v>
      </c>
      <c r="R60" s="1">
        <f>Clean_Data!G59</f>
        <v>46169</v>
      </c>
      <c r="S60" t="str">
        <f>Clean_Data!I59</f>
        <v>9521.67</v>
      </c>
      <c r="T60" s="4">
        <f t="shared" si="13"/>
        <v>-9.0017235349951763E-3</v>
      </c>
      <c r="U60" s="4">
        <f t="shared" si="25"/>
        <v>2.2728078306607724E-2</v>
      </c>
      <c r="V60" s="4">
        <f t="shared" si="2"/>
        <v>5.3496508138824783E-2</v>
      </c>
      <c r="W60" s="4">
        <f t="shared" si="31"/>
        <v>0.16120064642715212</v>
      </c>
      <c r="X60" t="str">
        <f t="shared" si="14"/>
        <v>9662.54</v>
      </c>
      <c r="Y60" s="4">
        <f t="shared" si="3"/>
        <v>-1.4578982337977497E-2</v>
      </c>
      <c r="AE60" s="1">
        <f>Clean_Data!G59</f>
        <v>46169</v>
      </c>
      <c r="AF60" t="str">
        <f>Clean_Data!J59</f>
        <v>31551.54</v>
      </c>
      <c r="AG60" s="4">
        <f t="shared" si="15"/>
        <v>-1.1191946010894793E-2</v>
      </c>
      <c r="AH60" s="4">
        <f t="shared" si="29"/>
        <v>1.4719631052442894E-2</v>
      </c>
      <c r="AI60" s="4">
        <f t="shared" si="4"/>
        <v>2.7585162459635493E-2</v>
      </c>
      <c r="AJ60" s="4">
        <f t="shared" si="32"/>
        <v>0.10870623027581897</v>
      </c>
      <c r="AK60" t="str">
        <f t="shared" si="16"/>
        <v>31908.66</v>
      </c>
      <c r="AL60" s="4">
        <f t="shared" si="5"/>
        <v>-1.1191946010894793E-2</v>
      </c>
      <c r="AQ60" s="1">
        <f>Clean_Data!G59</f>
        <v>46169</v>
      </c>
      <c r="AR60">
        <f>Clean_Data!K59</f>
        <v>3.6404000000000001</v>
      </c>
      <c r="AS60" s="4">
        <f t="shared" si="17"/>
        <v>2.7477056657687626E-4</v>
      </c>
      <c r="AT60" s="4">
        <f t="shared" si="26"/>
        <v>-8.3085891743168716E-3</v>
      </c>
      <c r="AU60" s="4">
        <f t="shared" si="6"/>
        <v>2.7821392171445414E-3</v>
      </c>
      <c r="AV60" s="4">
        <f t="shared" si="33"/>
        <v>7.2917161085123958E-2</v>
      </c>
      <c r="AW60">
        <f t="shared" si="18"/>
        <v>3.7408000000000001</v>
      </c>
      <c r="AX60" s="4">
        <f t="shared" si="7"/>
        <v>-2.6839178785286633E-2</v>
      </c>
      <c r="BC60" s="1">
        <f>Clean_Data!G59</f>
        <v>46169</v>
      </c>
      <c r="BD60">
        <f>Clean_Data!L59</f>
        <v>4.2393000000000001</v>
      </c>
      <c r="BE60" s="4">
        <f t="shared" si="19"/>
        <v>9.6807706837931384E-4</v>
      </c>
      <c r="BF60" s="4">
        <f t="shared" si="27"/>
        <v>-3.5961077422084209E-3</v>
      </c>
      <c r="BG60" s="4">
        <f t="shared" si="8"/>
        <v>-3.5492666415947172E-3</v>
      </c>
      <c r="BH60" s="4">
        <f t="shared" si="34"/>
        <v>3.2781760593739218E-2</v>
      </c>
      <c r="BI60">
        <f t="shared" si="20"/>
        <v>4.2893999999999997</v>
      </c>
      <c r="BJ60" s="4">
        <f t="shared" si="21"/>
        <v>-1.1679955238494855E-2</v>
      </c>
      <c r="BO60" s="1">
        <f>Clean_Data!G59</f>
        <v>46169</v>
      </c>
      <c r="BP60">
        <f>Clean_Data!M59</f>
        <v>529.21</v>
      </c>
      <c r="BQ60" s="4">
        <f t="shared" si="22"/>
        <v>-6.4769271204895285E-3</v>
      </c>
      <c r="BR60" s="4">
        <f t="shared" si="28"/>
        <v>-6.1597400890156528E-3</v>
      </c>
      <c r="BS60" s="4">
        <f t="shared" si="9"/>
        <v>-2.1774894175493054E-2</v>
      </c>
      <c r="BT60" s="4">
        <f t="shared" si="35"/>
        <v>0.15356776643274961</v>
      </c>
      <c r="BU60">
        <f t="shared" si="23"/>
        <v>615.04999999999995</v>
      </c>
      <c r="BV60" s="4">
        <f t="shared" si="10"/>
        <v>-0.13956588895211763</v>
      </c>
      <c r="BW60" s="4"/>
    </row>
    <row r="61" spans="6:75" x14ac:dyDescent="0.25">
      <c r="F61" s="1">
        <f>Clean_Data!G60</f>
        <v>46170</v>
      </c>
      <c r="G61" t="str">
        <f>Clean_Data!H60</f>
        <v>3670.49</v>
      </c>
      <c r="H61" s="4">
        <f t="shared" si="11"/>
        <v>-3.1593425299258904E-4</v>
      </c>
      <c r="I61" s="4">
        <f t="shared" si="24"/>
        <v>2.2420612813370377E-2</v>
      </c>
      <c r="J61" s="4">
        <f t="shared" si="0"/>
        <v>5.1162138013196357E-2</v>
      </c>
      <c r="K61" s="4">
        <f t="shared" si="30"/>
        <v>0.24484713897634786</v>
      </c>
      <c r="L61" t="str">
        <f t="shared" si="12"/>
        <v>3719.68</v>
      </c>
      <c r="M61" s="4">
        <f t="shared" si="1"/>
        <v>-1.322425584996556E-2</v>
      </c>
      <c r="R61" s="1">
        <f>Clean_Data!G60</f>
        <v>46170</v>
      </c>
      <c r="S61" t="str">
        <f>Clean_Data!I60</f>
        <v>9572.57</v>
      </c>
      <c r="T61" s="4">
        <f t="shared" si="13"/>
        <v>5.3457009117097165E-3</v>
      </c>
      <c r="U61" s="4">
        <f t="shared" si="25"/>
        <v>2.1941830076523505E-2</v>
      </c>
      <c r="V61" s="4">
        <f t="shared" si="2"/>
        <v>5.9128185382865572E-2</v>
      </c>
      <c r="W61" s="4">
        <f t="shared" si="31"/>
        <v>0.16129659028008611</v>
      </c>
      <c r="X61" t="str">
        <f t="shared" si="14"/>
        <v>9662.54</v>
      </c>
      <c r="Y61" s="4">
        <f t="shared" si="3"/>
        <v>-9.3112163054436259E-3</v>
      </c>
      <c r="AE61" s="1">
        <f>Clean_Data!G60</f>
        <v>46170</v>
      </c>
      <c r="AF61" t="str">
        <f>Clean_Data!J60</f>
        <v>31746.03</v>
      </c>
      <c r="AG61" s="4">
        <f t="shared" si="15"/>
        <v>6.164199909101109E-3</v>
      </c>
      <c r="AH61" s="4">
        <f t="shared" si="29"/>
        <v>1.6008861345293557E-2</v>
      </c>
      <c r="AI61" s="4">
        <f t="shared" si="4"/>
        <v>3.391940282466277E-2</v>
      </c>
      <c r="AJ61" s="4">
        <f t="shared" si="32"/>
        <v>0.11011241459762008</v>
      </c>
      <c r="AK61" t="str">
        <f t="shared" si="16"/>
        <v>31908.66</v>
      </c>
      <c r="AL61" s="4">
        <f t="shared" si="5"/>
        <v>-5.0967354943768362E-3</v>
      </c>
      <c r="AQ61" s="1">
        <f>Clean_Data!G60</f>
        <v>46170</v>
      </c>
      <c r="AR61">
        <f>Clean_Data!K60</f>
        <v>3.6463000000000001</v>
      </c>
      <c r="AS61" s="4">
        <f t="shared" si="17"/>
        <v>1.6207010218656226E-3</v>
      </c>
      <c r="AT61" s="4">
        <f t="shared" si="26"/>
        <v>-1.806783651345456E-3</v>
      </c>
      <c r="AU61" s="4">
        <f t="shared" si="6"/>
        <v>4.4073492548826199E-3</v>
      </c>
      <c r="AV61" s="4">
        <f t="shared" si="33"/>
        <v>7.2885344728828697E-2</v>
      </c>
      <c r="AW61">
        <f t="shared" si="18"/>
        <v>3.7408000000000001</v>
      </c>
      <c r="AX61" s="4">
        <f t="shared" si="7"/>
        <v>-2.5261976047904144E-2</v>
      </c>
      <c r="BC61" s="1">
        <f>Clean_Data!G60</f>
        <v>46170</v>
      </c>
      <c r="BD61">
        <f>Clean_Data!L60</f>
        <v>4.2355</v>
      </c>
      <c r="BE61" s="4">
        <f t="shared" si="19"/>
        <v>-8.9637440143419678E-4</v>
      </c>
      <c r="BF61" s="4">
        <f t="shared" si="27"/>
        <v>-2.4729156853510181E-3</v>
      </c>
      <c r="BG61" s="4">
        <f t="shared" si="8"/>
        <v>-4.442459571267432E-3</v>
      </c>
      <c r="BH61" s="4">
        <f t="shared" si="34"/>
        <v>3.2286399627516643E-2</v>
      </c>
      <c r="BI61">
        <f t="shared" si="20"/>
        <v>4.2893999999999997</v>
      </c>
      <c r="BJ61" s="4">
        <f t="shared" si="21"/>
        <v>-1.2565860027043296E-2</v>
      </c>
      <c r="BO61" s="1">
        <f>Clean_Data!G60</f>
        <v>46170</v>
      </c>
      <c r="BP61">
        <f>Clean_Data!M60</f>
        <v>526.29</v>
      </c>
      <c r="BQ61" s="4">
        <f t="shared" si="22"/>
        <v>-5.5176583964778869E-3</v>
      </c>
      <c r="BR61" s="4">
        <f t="shared" si="28"/>
        <v>-5.2921053128958118E-3</v>
      </c>
      <c r="BS61" s="4">
        <f t="shared" si="9"/>
        <v>-2.7172406144291061E-2</v>
      </c>
      <c r="BT61" s="4">
        <f t="shared" si="35"/>
        <v>0.14949964925942671</v>
      </c>
      <c r="BU61">
        <f t="shared" si="23"/>
        <v>615.04999999999995</v>
      </c>
      <c r="BV61" s="4">
        <f t="shared" si="10"/>
        <v>-0.14431347044955689</v>
      </c>
      <c r="BW61" s="4"/>
    </row>
    <row r="62" spans="6:75" x14ac:dyDescent="0.25">
      <c r="F62" s="1">
        <f>Clean_Data!G61</f>
        <v>46171</v>
      </c>
      <c r="G62" t="str">
        <f>Clean_Data!H61</f>
        <v>3686.96</v>
      </c>
      <c r="H62" s="4">
        <f t="shared" si="11"/>
        <v>4.4871393192735809E-3</v>
      </c>
      <c r="I62" s="4">
        <f t="shared" si="24"/>
        <v>1.2570066379397948E-2</v>
      </c>
      <c r="J62" s="4">
        <f t="shared" si="0"/>
        <v>5.5878848973607065E-2</v>
      </c>
      <c r="K62" s="4">
        <f t="shared" si="30"/>
        <v>0.24354834996014318</v>
      </c>
      <c r="L62" t="str">
        <f t="shared" si="12"/>
        <v>3719.68</v>
      </c>
      <c r="M62" s="4">
        <f t="shared" si="1"/>
        <v>-8.7964556090845969E-3</v>
      </c>
      <c r="R62" s="1">
        <f>Clean_Data!G61</f>
        <v>46171</v>
      </c>
      <c r="S62" t="str">
        <f>Clean_Data!I61</f>
        <v>9624.8</v>
      </c>
      <c r="T62" s="4">
        <f t="shared" si="13"/>
        <v>5.4562149976442598E-3</v>
      </c>
      <c r="U62" s="4">
        <f t="shared" si="25"/>
        <v>1.5260339256951028E-2</v>
      </c>
      <c r="V62" s="4">
        <f t="shared" si="2"/>
        <v>6.4907016472379286E-2</v>
      </c>
      <c r="W62" s="4">
        <f t="shared" si="31"/>
        <v>0.16004307172617918</v>
      </c>
      <c r="X62" t="str">
        <f t="shared" si="14"/>
        <v>9662.54</v>
      </c>
      <c r="Y62" s="4">
        <f t="shared" si="3"/>
        <v>-3.9058053058513842E-3</v>
      </c>
      <c r="AE62" s="1">
        <f>Clean_Data!G61</f>
        <v>46171</v>
      </c>
      <c r="AF62" t="str">
        <f>Clean_Data!J61</f>
        <v>32168.91</v>
      </c>
      <c r="AG62" s="4">
        <f t="shared" si="15"/>
        <v>1.3320720732639568E-2</v>
      </c>
      <c r="AH62" s="4">
        <f t="shared" si="29"/>
        <v>1.6825765094858447E-2</v>
      </c>
      <c r="AI62" s="4">
        <f t="shared" si="4"/>
        <v>4.7691954449747609E-2</v>
      </c>
      <c r="AJ62" s="4">
        <f t="shared" si="32"/>
        <v>0.11446628316436086</v>
      </c>
      <c r="AK62" t="str">
        <f t="shared" si="16"/>
        <v>32168.91</v>
      </c>
      <c r="AL62" s="4">
        <f t="shared" si="5"/>
        <v>0</v>
      </c>
      <c r="AQ62" s="1">
        <f>Clean_Data!G61</f>
        <v>46171</v>
      </c>
      <c r="AR62">
        <f>Clean_Data!K61</f>
        <v>3.6395</v>
      </c>
      <c r="AS62" s="4">
        <f t="shared" si="17"/>
        <v>-1.8649041494117613E-3</v>
      </c>
      <c r="AT62" s="4">
        <f t="shared" si="26"/>
        <v>-4.8125563971452845E-3</v>
      </c>
      <c r="AU62" s="4">
        <f t="shared" si="6"/>
        <v>2.5342258215574898E-3</v>
      </c>
      <c r="AV62" s="4">
        <f t="shared" si="33"/>
        <v>7.2489559406583096E-2</v>
      </c>
      <c r="AW62">
        <f t="shared" si="18"/>
        <v>3.7408000000000001</v>
      </c>
      <c r="AX62" s="4">
        <f t="shared" si="7"/>
        <v>-2.7079769033361845E-2</v>
      </c>
      <c r="BC62" s="1">
        <f>Clean_Data!G61</f>
        <v>46171</v>
      </c>
      <c r="BD62">
        <f>Clean_Data!L61</f>
        <v>4.2321999999999997</v>
      </c>
      <c r="BE62" s="4">
        <f t="shared" si="19"/>
        <v>-7.7912879235042531E-4</v>
      </c>
      <c r="BF62" s="4">
        <f t="shared" si="27"/>
        <v>-3.08576543471617E-3</v>
      </c>
      <c r="BG62" s="4">
        <f t="shared" si="8"/>
        <v>-5.2181271154571052E-3</v>
      </c>
      <c r="BH62" s="4">
        <f t="shared" si="34"/>
        <v>3.1885856323765324E-2</v>
      </c>
      <c r="BI62">
        <f t="shared" si="20"/>
        <v>4.2893999999999997</v>
      </c>
      <c r="BJ62" s="4">
        <f t="shared" si="21"/>
        <v>-1.3335198396046022E-2</v>
      </c>
      <c r="BO62" s="1">
        <f>Clean_Data!G61</f>
        <v>46171</v>
      </c>
      <c r="BP62">
        <f>Clean_Data!M61</f>
        <v>514.16</v>
      </c>
      <c r="BQ62" s="4">
        <f t="shared" si="22"/>
        <v>-2.3048129358338554E-2</v>
      </c>
      <c r="BR62" s="4">
        <f t="shared" si="28"/>
        <v>-3.3878877844379041E-2</v>
      </c>
      <c r="BS62" s="4">
        <f t="shared" si="9"/>
        <v>-4.9594262370838749E-2</v>
      </c>
      <c r="BT62" s="4">
        <f t="shared" si="35"/>
        <v>0.16555431715450042</v>
      </c>
      <c r="BU62">
        <f t="shared" si="23"/>
        <v>615.04999999999995</v>
      </c>
      <c r="BV62" s="4">
        <f t="shared" si="10"/>
        <v>-0.16403544427282335</v>
      </c>
      <c r="BW62" s="4"/>
    </row>
    <row r="63" spans="6:75" x14ac:dyDescent="0.25">
      <c r="F63" s="1">
        <f>Clean_Data!G62</f>
        <v>46174</v>
      </c>
      <c r="G63" t="str">
        <f>Clean_Data!H62</f>
        <v>3631.04</v>
      </c>
      <c r="H63" s="4">
        <f t="shared" si="11"/>
        <v>-1.5166966823616179E-2</v>
      </c>
      <c r="I63" s="4">
        <f t="shared" si="24"/>
        <v>-2.3830006882312404E-2</v>
      </c>
      <c r="J63" s="4">
        <f t="shared" si="0"/>
        <v>0</v>
      </c>
      <c r="K63" s="4">
        <f t="shared" si="30"/>
        <v>0.251837517987268</v>
      </c>
      <c r="L63" t="str">
        <f t="shared" si="12"/>
        <v>3719.68</v>
      </c>
      <c r="M63" s="4">
        <f t="shared" si="1"/>
        <v>-2.3830006882312404E-2</v>
      </c>
      <c r="R63" s="1">
        <f>Clean_Data!G62</f>
        <v>46174</v>
      </c>
      <c r="S63" t="str">
        <f>Clean_Data!I62</f>
        <v>9463.33</v>
      </c>
      <c r="T63" s="4">
        <f t="shared" si="13"/>
        <v>-1.67764524977142E-2</v>
      </c>
      <c r="U63" s="4">
        <f t="shared" si="25"/>
        <v>-2.0616732246386604E-2</v>
      </c>
      <c r="V63" s="4">
        <f t="shared" si="2"/>
        <v>0</v>
      </c>
      <c r="W63" s="4">
        <f t="shared" si="31"/>
        <v>0.17320983519598795</v>
      </c>
      <c r="X63" t="str">
        <f t="shared" si="14"/>
        <v>9662.54</v>
      </c>
      <c r="Y63" s="4">
        <f t="shared" si="3"/>
        <v>-2.0616732246386604E-2</v>
      </c>
      <c r="AE63" s="1">
        <f>Clean_Data!G62</f>
        <v>46174</v>
      </c>
      <c r="AF63" t="str">
        <f>Clean_Data!J62</f>
        <v>32380.61</v>
      </c>
      <c r="AG63" s="4">
        <f t="shared" si="15"/>
        <v>6.5808881929789731E-3</v>
      </c>
      <c r="AH63" s="4">
        <f t="shared" si="29"/>
        <v>1.520553605792907E-2</v>
      </c>
      <c r="AI63" s="4">
        <f t="shared" si="4"/>
        <v>0</v>
      </c>
      <c r="AJ63" s="4">
        <f t="shared" si="32"/>
        <v>0.11508224443789243</v>
      </c>
      <c r="AK63" t="str">
        <f t="shared" si="16"/>
        <v>32380.61</v>
      </c>
      <c r="AL63" s="4">
        <f t="shared" si="5"/>
        <v>0</v>
      </c>
      <c r="AQ63" s="1">
        <f>Clean_Data!G62</f>
        <v>46174</v>
      </c>
      <c r="AR63">
        <f>Clean_Data!K62</f>
        <v>3.6318999999999999</v>
      </c>
      <c r="AS63" s="4">
        <f t="shared" si="17"/>
        <v>-2.0881989284242675E-3</v>
      </c>
      <c r="AT63" s="4">
        <f t="shared" si="26"/>
        <v>-1.5120690603178666E-3</v>
      </c>
      <c r="AU63" s="4">
        <f t="shared" si="6"/>
        <v>0</v>
      </c>
      <c r="AV63" s="4">
        <f t="shared" si="33"/>
        <v>7.1190194609029894E-2</v>
      </c>
      <c r="AW63">
        <f t="shared" si="18"/>
        <v>3.7408000000000001</v>
      </c>
      <c r="AX63" s="4">
        <f t="shared" si="7"/>
        <v>-2.9111420017108647E-2</v>
      </c>
      <c r="BC63" s="1">
        <f>Clean_Data!G62</f>
        <v>46174</v>
      </c>
      <c r="BD63">
        <f>Clean_Data!L62</f>
        <v>4.2340999999999998</v>
      </c>
      <c r="BE63" s="4">
        <f t="shared" si="19"/>
        <v>4.4893908605447841E-4</v>
      </c>
      <c r="BF63" s="4">
        <f t="shared" si="27"/>
        <v>-2.5972799395546087E-4</v>
      </c>
      <c r="BG63" s="4">
        <f t="shared" si="8"/>
        <v>0</v>
      </c>
      <c r="BH63" s="4">
        <f t="shared" si="34"/>
        <v>3.1867694333163062E-2</v>
      </c>
      <c r="BI63">
        <f t="shared" si="20"/>
        <v>4.2893999999999997</v>
      </c>
      <c r="BJ63" s="4">
        <f t="shared" si="21"/>
        <v>-1.2892246001771746E-2</v>
      </c>
      <c r="BO63" s="1">
        <f>Clean_Data!G62</f>
        <v>46174</v>
      </c>
      <c r="BP63">
        <f>Clean_Data!M62</f>
        <v>528.20000000000005</v>
      </c>
      <c r="BQ63" s="4">
        <f t="shared" si="22"/>
        <v>2.7306674964991506E-2</v>
      </c>
      <c r="BR63" s="4">
        <f t="shared" si="28"/>
        <v>-6.3210173827976668E-3</v>
      </c>
      <c r="BS63" s="4">
        <f t="shared" si="9"/>
        <v>0</v>
      </c>
      <c r="BT63" s="4">
        <f t="shared" si="35"/>
        <v>0.18947099326507247</v>
      </c>
      <c r="BU63">
        <f t="shared" si="23"/>
        <v>615.04999999999995</v>
      </c>
      <c r="BV63" s="4">
        <f t="shared" si="10"/>
        <v>-0.14120803186732778</v>
      </c>
      <c r="BW63" s="4"/>
    </row>
    <row r="64" spans="6:75" x14ac:dyDescent="0.25">
      <c r="F64" s="1">
        <f>Clean_Data!G63</f>
        <v>46175</v>
      </c>
      <c r="G64" t="str">
        <f>Clean_Data!H63</f>
        <v>3668.51</v>
      </c>
      <c r="H64" s="4">
        <f t="shared" si="11"/>
        <v>1.0319357539437801E-2</v>
      </c>
      <c r="I64" s="4">
        <f t="shared" si="24"/>
        <v>-3.6827110837110988E-3</v>
      </c>
      <c r="J64" s="4">
        <f t="shared" si="0"/>
        <v>1.0319357539437801E-2</v>
      </c>
      <c r="K64" s="4">
        <f t="shared" si="30"/>
        <v>0.25161997205750319</v>
      </c>
      <c r="L64" t="str">
        <f t="shared" si="12"/>
        <v>3719.68</v>
      </c>
      <c r="M64" s="4">
        <f t="shared" si="1"/>
        <v>-1.3756559704060423E-2</v>
      </c>
      <c r="R64" s="1">
        <f>Clean_Data!G63</f>
        <v>46175</v>
      </c>
      <c r="S64" t="str">
        <f>Clean_Data!I63</f>
        <v>9530.78</v>
      </c>
      <c r="T64" s="4">
        <f t="shared" si="13"/>
        <v>7.1275121970808542E-3</v>
      </c>
      <c r="U64" s="4">
        <f t="shared" si="25"/>
        <v>-8.0535711312050839E-3</v>
      </c>
      <c r="V64" s="4">
        <f t="shared" si="2"/>
        <v>7.1275121970808542E-3</v>
      </c>
      <c r="W64" s="4">
        <f t="shared" si="31"/>
        <v>0.17320577274624566</v>
      </c>
      <c r="X64" t="str">
        <f t="shared" si="14"/>
        <v>9662.54</v>
      </c>
      <c r="Y64" s="4">
        <f t="shared" si="3"/>
        <v>-1.3636166059855959E-2</v>
      </c>
      <c r="AE64" s="1">
        <f>Clean_Data!G63</f>
        <v>46175</v>
      </c>
      <c r="AF64" t="str">
        <f>Clean_Data!J63</f>
        <v>32283.9</v>
      </c>
      <c r="AG64" s="4">
        <f t="shared" si="15"/>
        <v>-2.9866639325201172E-3</v>
      </c>
      <c r="AH64" s="4">
        <f t="shared" si="29"/>
        <v>1.1759816927442213E-2</v>
      </c>
      <c r="AI64" s="4">
        <f t="shared" si="4"/>
        <v>-2.9866639325201172E-3</v>
      </c>
      <c r="AJ64" s="4">
        <f t="shared" si="32"/>
        <v>0.11660829411130876</v>
      </c>
      <c r="AK64" t="str">
        <f t="shared" si="16"/>
        <v>32380.61</v>
      </c>
      <c r="AL64" s="4">
        <f t="shared" si="5"/>
        <v>-2.9866639325201172E-3</v>
      </c>
      <c r="AQ64" s="1">
        <f>Clean_Data!G63</f>
        <v>46175</v>
      </c>
      <c r="AR64">
        <f>Clean_Data!K63</f>
        <v>3.6358000000000001</v>
      </c>
      <c r="AS64" s="4">
        <f t="shared" si="17"/>
        <v>1.0738181117322387E-3</v>
      </c>
      <c r="AT64" s="4">
        <f t="shared" si="26"/>
        <v>-9.8917403967690998E-4</v>
      </c>
      <c r="AU64" s="4">
        <f t="shared" si="6"/>
        <v>1.0738181117322387E-3</v>
      </c>
      <c r="AV64" s="4">
        <f t="shared" si="33"/>
        <v>7.0584945523371287E-2</v>
      </c>
      <c r="AW64">
        <f t="shared" si="18"/>
        <v>3.7408000000000001</v>
      </c>
      <c r="AX64" s="4">
        <f t="shared" si="7"/>
        <v>-2.8068862275449136E-2</v>
      </c>
      <c r="BC64" s="1">
        <f>Clean_Data!G63</f>
        <v>46175</v>
      </c>
      <c r="BD64">
        <f>Clean_Data!L63</f>
        <v>4.2333999999999996</v>
      </c>
      <c r="BE64" s="4">
        <f t="shared" si="19"/>
        <v>-1.6532439007110877E-4</v>
      </c>
      <c r="BF64" s="4">
        <f t="shared" si="27"/>
        <v>-4.250094446544006E-4</v>
      </c>
      <c r="BG64" s="4">
        <f t="shared" si="8"/>
        <v>-1.6532439007110877E-4</v>
      </c>
      <c r="BH64" s="4">
        <f t="shared" si="34"/>
        <v>3.1834033822808604E-2</v>
      </c>
      <c r="BI64">
        <f t="shared" si="20"/>
        <v>4.2893999999999997</v>
      </c>
      <c r="BJ64" s="4">
        <f t="shared" si="21"/>
        <v>-1.305543898913597E-2</v>
      </c>
      <c r="BO64" s="1">
        <f>Clean_Data!G63</f>
        <v>46175</v>
      </c>
      <c r="BP64">
        <f>Clean_Data!M63</f>
        <v>525.1</v>
      </c>
      <c r="BQ64" s="4">
        <f t="shared" si="22"/>
        <v>-5.8689890193108774E-3</v>
      </c>
      <c r="BR64" s="4">
        <f t="shared" si="28"/>
        <v>-1.4192918559681522E-2</v>
      </c>
      <c r="BS64" s="4">
        <f t="shared" si="9"/>
        <v>-5.8689890193108774E-3</v>
      </c>
      <c r="BT64" s="4">
        <f t="shared" si="35"/>
        <v>0.18539989760970785</v>
      </c>
      <c r="BU64">
        <f t="shared" si="23"/>
        <v>615.04999999999995</v>
      </c>
      <c r="BV64" s="4">
        <f t="shared" si="10"/>
        <v>-0.14624827249817074</v>
      </c>
      <c r="BW64" s="4"/>
    </row>
    <row r="65" spans="6:75" x14ac:dyDescent="0.25">
      <c r="F65" s="1"/>
      <c r="AQ65" s="1"/>
      <c r="AS65" s="4"/>
      <c r="AT65" s="4"/>
      <c r="AU65" s="4"/>
      <c r="AV65" s="4"/>
      <c r="AX65" s="4"/>
      <c r="BE65" s="4"/>
      <c r="BF65" s="4"/>
      <c r="BG65" s="4"/>
      <c r="BH65" s="4"/>
      <c r="BJ65" s="4"/>
      <c r="BR65" s="4"/>
      <c r="BS65" s="4"/>
      <c r="BT65" s="4"/>
      <c r="BW65" s="4"/>
    </row>
    <row r="66" spans="6:75" x14ac:dyDescent="0.25">
      <c r="F66" s="1"/>
    </row>
    <row r="67" spans="6:75" x14ac:dyDescent="0.25">
      <c r="F6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33C3-6922-43E3-8995-FDB42273B992}">
  <dimension ref="B3:G47"/>
  <sheetViews>
    <sheetView topLeftCell="A37" zoomScaleNormal="100" workbookViewId="0">
      <selection activeCell="L41" sqref="L41"/>
    </sheetView>
  </sheetViews>
  <sheetFormatPr defaultColWidth="8.85546875" defaultRowHeight="15" x14ac:dyDescent="0.25"/>
  <cols>
    <col min="2" max="2" width="20.7109375" bestFit="1" customWidth="1"/>
    <col min="3" max="4" width="8.85546875" style="4"/>
    <col min="5" max="5" width="10.85546875" style="4" customWidth="1"/>
    <col min="6" max="6" width="11.140625" style="4" customWidth="1"/>
    <col min="7" max="7" width="8.85546875" style="4"/>
  </cols>
  <sheetData>
    <row r="3" spans="2:7" x14ac:dyDescent="0.25">
      <c r="B3" s="9" t="s">
        <v>958</v>
      </c>
      <c r="C3" s="8" t="s">
        <v>959</v>
      </c>
      <c r="D3" s="8" t="s">
        <v>973</v>
      </c>
      <c r="E3" s="8" t="s">
        <v>960</v>
      </c>
      <c r="F3" s="8" t="s">
        <v>965</v>
      </c>
      <c r="G3" s="8" t="s">
        <v>961</v>
      </c>
    </row>
    <row r="4" spans="2:7" x14ac:dyDescent="0.25">
      <c r="B4" s="9" t="s">
        <v>417</v>
      </c>
      <c r="C4" s="4" cm="1">
        <f t="array" ref="C4">LOOKUP(2,1/(Returns!$F:$F&lt;&gt;""),Returns!$H:$H)</f>
        <v>1.0319357539437801E-2</v>
      </c>
      <c r="D4" s="4" cm="1">
        <f t="array" ref="D4">LOOKUP(2,1/(Returns!$F:$F&lt;&gt;""),Returns!$I:$I)</f>
        <v>-3.6827110837110988E-3</v>
      </c>
      <c r="E4" s="10" cm="1">
        <f t="array" ref="E4">LOOKUP(2,1/(Returns!$F:$F&lt;&gt;""),Returns!$J:$J)</f>
        <v>1.0319357539437801E-2</v>
      </c>
      <c r="F4" s="4" cm="1">
        <f t="array" ref="F4">LOOKUP(2,1/(Returns!$F:$F&lt;&gt;""),Returns!$G:$G)/INDEX(Returns!$G:$G,MATCH(TRUE,Returns!$G:$G&lt;&gt;"",0)+1)-1</f>
        <v>0.1245061045326501</v>
      </c>
      <c r="G4" s="5" cm="1">
        <f t="array" ref="G4">LOOKUP(2,1/(Returns!$F:$F&lt;&gt;""),Returns!$K:$K)</f>
        <v>0.25161997205750319</v>
      </c>
    </row>
    <row r="5" spans="2:7" x14ac:dyDescent="0.25">
      <c r="B5" s="9" t="s">
        <v>927</v>
      </c>
      <c r="C5" s="4" cm="1">
        <f t="array" ref="C5">LOOKUP(2,1/(Returns!$R:$R&lt;&gt;""),Returns!$T:$T)</f>
        <v>7.1275121970808542E-3</v>
      </c>
      <c r="D5" s="4" cm="1">
        <f t="array" ref="D5">LOOKUP(2,1/(Returns!$R:$R&lt;&gt;""),Returns!$U:$U)</f>
        <v>-8.0535711312050839E-3</v>
      </c>
      <c r="E5" s="4" cm="1">
        <f t="array" ref="E5">LOOKUP(2,1/(Returns!$R:$R&lt;&gt;""),Returns!$V:$V)</f>
        <v>7.1275121970808542E-3</v>
      </c>
      <c r="F5" s="4" cm="1">
        <f t="array" ref="F5">LOOKUP(2,1/(Returns!$R:$R&lt;&gt;""),Returns!$S:$S)/INDEX(Returns!$S:$S,MATCH(TRUE,Returns!$S:$S&lt;&gt;"",0)+1)-1</f>
        <v>0.11911164133117613</v>
      </c>
      <c r="G5" s="5" cm="1">
        <f t="array" ref="G5">LOOKUP(2,1/(Returns!$R:$R&lt;&gt;""),Returns!$W:$W)</f>
        <v>0.17320577274624566</v>
      </c>
    </row>
    <row r="6" spans="2:7" x14ac:dyDescent="0.25">
      <c r="B6" s="9" t="s">
        <v>916</v>
      </c>
      <c r="C6" s="4" cm="1">
        <f t="array" ref="C6">LOOKUP(2,1/(Returns!$AE:$AE&lt;&gt;""),Returns!$AG:$AG)</f>
        <v>-2.9866639325201172E-3</v>
      </c>
      <c r="D6" s="4" cm="1">
        <f t="array" ref="D6">LOOKUP(2,1/(Returns!$AE:$AE&lt;&gt;""),Returns!$AH:$AH)</f>
        <v>1.1759816927442213E-2</v>
      </c>
      <c r="E6" s="4" cm="1">
        <f t="array" ref="E6">LOOKUP(2,1/(Returns!$AE:$AE&lt;&gt;""),Returns!$AI:$AI)</f>
        <v>-2.9866639325201172E-3</v>
      </c>
      <c r="F6" s="4" cm="1">
        <f t="array" ref="F6">LOOKUP(2,1/(Returns!$AE:$AE&lt;&gt;""),Returns!$AF:$AF)/INDEX(Returns!$AF:$AF,MATCH(TRUE,Returns!$AF:$AF&lt;&gt;"",0)+1)-1</f>
        <v>5.3021787872402859E-2</v>
      </c>
      <c r="G6" s="5" cm="1">
        <f t="array" ref="G6">LOOKUP(2,1/(Returns!$AE:$AE&lt;&gt;""),Returns!$AJ:$AJ)</f>
        <v>0.11660829411130876</v>
      </c>
    </row>
    <row r="7" spans="2:7" x14ac:dyDescent="0.25">
      <c r="B7" s="9" t="s">
        <v>125</v>
      </c>
      <c r="C7" s="4" cm="1">
        <f t="array" ref="C7">LOOKUP(2,1/(Returns!$AQ:$AQ&lt;&gt;""),Returns!$AS:$AS)</f>
        <v>1.0738181117322387E-3</v>
      </c>
      <c r="D7" s="4" cm="1">
        <f t="array" ref="D7">LOOKUP(2,1/(Returns!$AQ:$AQ&lt;&gt;""),Returns!$AT:$AT)</f>
        <v>-9.8917403967690998E-4</v>
      </c>
      <c r="E7" s="4" cm="1">
        <f t="array" ref="E7">LOOKUP(2,1/(Returns!$AQ:$AQ&lt;&gt;""),Returns!$AU:$AU)</f>
        <v>1.0738181117322387E-3</v>
      </c>
      <c r="F7" s="4" cm="1">
        <f t="array" ref="F7">LOOKUP(2,1/(Returns!$AQ:$AQ&lt;&gt;""),Returns!$AR:$AR)/INDEX(Returns!$AR:$AR,MATCH(TRUE,Returns!$AR:$AR&lt;&gt;"",0)+1)-1</f>
        <v>-1.6341107082950113E-2</v>
      </c>
      <c r="G7" s="5" cm="1">
        <f t="array" ref="G7">LOOKUP(2,1/(Returns!$AQ:$AQ&lt;&gt;""),Returns!$AV:$AV)</f>
        <v>7.0584945523371287E-2</v>
      </c>
    </row>
    <row r="8" spans="2:7" x14ac:dyDescent="0.25">
      <c r="B8" s="9" t="s">
        <v>126</v>
      </c>
      <c r="C8" s="4" cm="1">
        <f t="array" ref="C8">LOOKUP(2,1/(Returns!$BC:$BC&lt;&gt;""),Returns!$BE:$BE)</f>
        <v>-1.6532439007110877E-4</v>
      </c>
      <c r="D8" s="4" cm="1">
        <f t="array" ref="D8">LOOKUP(2,1/(Returns!$BC:$BC&lt;&gt;""),Returns!$BF:$BF)</f>
        <v>-4.250094446544006E-4</v>
      </c>
      <c r="E8" s="4" cm="1">
        <f t="array" ref="E8">LOOKUP(2,1/(Returns!$BC:$BC&lt;&gt;""),Returns!$BG:$BG)</f>
        <v>-1.6532439007110877E-4</v>
      </c>
      <c r="F8" s="4" cm="1">
        <f t="array" ref="F8">LOOKUP(2,1/(Returns!$BC:$BC&lt;&gt;""),Returns!$BD:$BD)/INDEX(Returns!$BD:$BD,MATCH(TRUE,Returns!$BD:$BD&lt;&gt;"",0)+1)-1</f>
        <v>-1.0471693702959306E-2</v>
      </c>
      <c r="G8" s="5" cm="1">
        <f t="array" ref="G8">LOOKUP(2,1/(Returns!$BC:$BC&lt;&gt;""),Returns!$BH:$BH)</f>
        <v>3.1834033822808604E-2</v>
      </c>
    </row>
    <row r="9" spans="2:7" x14ac:dyDescent="0.25">
      <c r="B9" s="9" t="s">
        <v>962</v>
      </c>
      <c r="C9" s="6" cm="1">
        <f t="array" ref="C9">LOOKUP(2,1/(Returns!$BO:$BO&lt;&gt;""),Returns!$BQ:$BQ)</f>
        <v>-5.8689890193108774E-3</v>
      </c>
      <c r="D9" s="6" cm="1">
        <f t="array" ref="D9">LOOKUP(2,1/(Returns!$BO:$BO&lt;&gt;""),Returns!$BR:$BR)</f>
        <v>-1.4192918559681522E-2</v>
      </c>
      <c r="E9" s="6" cm="1">
        <f t="array" ref="E9">LOOKUP(2,1/(Returns!$BO:$BO&lt;&gt;""),Returns!$BS:$BS)</f>
        <v>-5.8689890193108774E-3</v>
      </c>
      <c r="F9" s="6" cm="1">
        <f t="array" ref="F9">LOOKUP(2,1/(Returns!$BO:$BO&lt;&gt;""),Returns!$BP:$BP)/INDEX(Returns!$BP:$BP,MATCH(TRUE,Returns!$BP:$BP&lt;&gt;"",0)+1)-1</f>
        <v>-0.13916621583960387</v>
      </c>
      <c r="G9" s="7" cm="1">
        <f t="array" ref="G9">LOOKUP(2,1/(Returns!$BO:$BO&lt;&gt;""),Returns!$BT:$BT)</f>
        <v>0.18539989760970785</v>
      </c>
    </row>
    <row r="47" spans="2:2" x14ac:dyDescent="0.25">
      <c r="B47" t="s">
        <v>964</v>
      </c>
    </row>
  </sheetData>
  <conditionalFormatting sqref="C4:G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A68D-23CB-4DEA-8FAC-58B9DF99836B}">
  <dimension ref="A1"/>
  <sheetViews>
    <sheetView workbookViewId="0">
      <selection activeCell="K22" sqref="K22"/>
    </sheetView>
  </sheetViews>
  <sheetFormatPr defaultColWidth="8.85546875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C30221-2EA0-42C0-89B1-2CA8893FB4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README</vt:lpstr>
      <vt:lpstr>Raw_GPW</vt:lpstr>
      <vt:lpstr>Raw_NBP</vt:lpstr>
      <vt:lpstr>Clean_Data</vt:lpstr>
      <vt:lpstr>Returns</vt:lpstr>
      <vt:lpstr>Dashboard</vt:lpstr>
      <vt:lpstr>Market_Commentary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Ignatowicz (195355)</dc:creator>
  <cp:lastModifiedBy>Karol Ignatowicz (195355)</cp:lastModifiedBy>
  <cp:lastPrinted>2026-06-14T06:53:28Z</cp:lastPrinted>
  <dcterms:created xsi:type="dcterms:W3CDTF">2026-06-04T06:41:48Z</dcterms:created>
  <dcterms:modified xsi:type="dcterms:W3CDTF">2026-06-14T06:59:15Z</dcterms:modified>
</cp:coreProperties>
</file>